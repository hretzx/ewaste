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Comparison" sheetId="1" state="visible" r:id="rId1"/>
    <sheet xmlns:r="http://schemas.openxmlformats.org/officeDocument/2006/relationships" name="LEED v5 Scorecard Template" sheetId="2" state="visible" r:id="rId2"/>
    <sheet xmlns:r="http://schemas.openxmlformats.org/officeDocument/2006/relationships" name="Sources &amp; Method" sheetId="3" state="visible" r:id="rId3"/>
  </sheets>
  <definedNames>
    <definedName name="_xlnm._FilterDatabase" localSheetId="0" hidden="1">'Building Comparison'!$A$3:$K$11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-mmm-yyyy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  <font>
      <b val="1"/>
      <color rgb="00FFFFFF"/>
      <sz val="14"/>
    </font>
    <font>
      <i val="1"/>
      <sz val="10"/>
    </font>
    <font>
      <b val="1"/>
    </font>
    <font>
      <name val="Calibri"/>
      <family val="2"/>
      <color theme="10"/>
      <sz val="12"/>
      <scheme val="minor"/>
    </font>
    <font>
      <name val="Aptos"/>
      <b val="1"/>
      <color rgb="001F1F1F"/>
      <sz val="10"/>
    </font>
    <font>
      <name val="Aptos"/>
      <color rgb="001F1F1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2">
    <xf numFmtId="0" fontId="0" fillId="0" borderId="0"/>
    <xf numFmtId="0" fontId="7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top" wrapText="1"/>
    </xf>
    <xf numFmtId="0" fontId="7" fillId="0" borderId="0" pivotButton="0" quotePrefix="0" xfId="1"/>
    <xf numFmtId="0" fontId="6" fillId="5" borderId="0" pivotButton="0" quotePrefix="0" xfId="0"/>
    <xf numFmtId="0" fontId="8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EDBuildingComparison" displayName="LEEDBuildingComparison" ref="A3:K11" headerRowCount="1">
  <autoFilter ref="A3:K11"/>
  <tableColumns count="11">
    <tableColumn id="1" name="Building / Project"/>
    <tableColumn id="2" name="City / State"/>
    <tableColumn id="3" name="Building type"/>
    <tableColumn id="4" name="LEED rating system"/>
    <tableColumn id="5" name="Certification level"/>
    <tableColumn id="6" name="Published points"/>
    <tableColumn id="7" name="Published maximum"/>
    <tableColumn id="8" name="Score (%)"/>
    <tableColumn id="9" name="Certification / last certified"/>
    <tableColumn id="10" name="Official scorecard / source"/>
    <tableColumn id="1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usgbc.org/projects/global-capability-center-bangalore?view=scorecard" TargetMode="External" Id="rId1"/><Relationship Type="http://schemas.openxmlformats.org/officeDocument/2006/relationships/hyperlink" Target="https://www.usgbc.org/projects/sujan-jawai" TargetMode="External" Id="rId2"/><Relationship Type="http://schemas.openxmlformats.org/officeDocument/2006/relationships/hyperlink" Target="https://www.usgbc.org/projects/indialand-tech-park-private-limited" TargetMode="External" Id="rId3"/><Relationship Type="http://schemas.openxmlformats.org/officeDocument/2006/relationships/hyperlink" Target="https://www.usgbc.org/projects/sdb-7-infosys-limited-phase-iipune" TargetMode="External" Id="rId4"/><Relationship Type="http://schemas.openxmlformats.org/officeDocument/2006/relationships/hyperlink" Target="https://www.usgbc.org/projects/lt-innovation-campus-chennai-tower-2" TargetMode="External" Id="rId5"/><Relationship Type="http://schemas.openxmlformats.org/officeDocument/2006/relationships/hyperlink" Target="https://www.usgbc.org/projects/itc-sankhya-data-center-2" TargetMode="External" Id="rId6"/><Relationship Type="http://schemas.openxmlformats.org/officeDocument/2006/relationships/hyperlink" Target="https://www.usgbc.org/projects/cii-sohrabji-godrej-green-business-centr" TargetMode="External" Id="rId7"/><Relationship Type="http://schemas.openxmlformats.org/officeDocument/2006/relationships/hyperlink" Target="https://www.usgbc.org/projects/sdb-7-infosys-hyd-pocharam-phase-ii?view=scorecard" TargetMode="External" Id="rId8"/><Relationship Type="http://schemas.openxmlformats.org/officeDocument/2006/relationships/hyperlink" Target="https://www.usgbc.org/leed-tools/scorecard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7" customWidth="1" min="3" max="3"/>
    <col width="42" customWidth="1" min="4" max="4"/>
    <col width="18" customWidth="1" min="5" max="5"/>
    <col width="16" customWidth="1" min="6" max="6"/>
    <col width="18" customWidth="1" min="7" max="7"/>
    <col width="13" customWidth="1" min="8" max="8"/>
    <col width="20" customWidth="1" min="9" max="9"/>
    <col width="58" customWidth="1" min="10" max="10"/>
    <col width="75" customWidth="1" min="11" max="11"/>
  </cols>
  <sheetData>
    <row r="1" ht="30" customHeight="1">
      <c r="A1" s="1" t="inlineStr">
        <is>
          <t>LEED CERTIFICATION OF GREEN BUILDINGS IN INDIA — COMPARATIVE SCORECARDS</t>
        </is>
      </c>
    </row>
    <row r="2" ht="32" customHeight="1">
      <c r="A2" s="2" t="inlineStr">
        <is>
          <t>Compiled from public U.S. Green Building Council (USGBC) project pages. LEED versions and maximum point totals differ; compare ratings and percentages cautiously.</t>
        </is>
      </c>
    </row>
    <row r="3" ht="36" customHeight="1">
      <c r="A3" s="3" t="inlineStr">
        <is>
          <t>Building / Project</t>
        </is>
      </c>
      <c r="B3" s="3" t="inlineStr">
        <is>
          <t>City / State</t>
        </is>
      </c>
      <c r="C3" s="3" t="inlineStr">
        <is>
          <t>Building type</t>
        </is>
      </c>
      <c r="D3" s="3" t="inlineStr">
        <is>
          <t>LEED rating system</t>
        </is>
      </c>
      <c r="E3" s="3" t="inlineStr">
        <is>
          <t>Certification level</t>
        </is>
      </c>
      <c r="F3" s="3" t="inlineStr">
        <is>
          <t>Published points</t>
        </is>
      </c>
      <c r="G3" s="3" t="inlineStr">
        <is>
          <t>Published maximum</t>
        </is>
      </c>
      <c r="H3" s="3" t="inlineStr">
        <is>
          <t>Score (%)</t>
        </is>
      </c>
      <c r="I3" s="3" t="inlineStr">
        <is>
          <t>Certification / last certified</t>
        </is>
      </c>
      <c r="J3" s="3" t="inlineStr">
        <is>
          <t>Official scorecard / source</t>
        </is>
      </c>
      <c r="K3" s="3" t="inlineStr">
        <is>
          <t>Notes</t>
        </is>
      </c>
    </row>
    <row r="4">
      <c r="A4" s="4" t="inlineStr">
        <is>
          <t>Global Capability Center, Bangalore</t>
        </is>
      </c>
      <c r="B4" s="4" t="inlineStr">
        <is>
          <t>Bengaluru, Karnataka</t>
        </is>
      </c>
      <c r="C4" s="4" t="inlineStr">
        <is>
          <t>Commercial interiors / office</t>
        </is>
      </c>
      <c r="D4" s="4" t="inlineStr">
        <is>
          <t>LEED ID+C: Commercial Interiors v4</t>
        </is>
      </c>
      <c r="E4" s="4" t="inlineStr">
        <is>
          <t>Platinum</t>
        </is>
      </c>
      <c r="F4" s="4" t="n">
        <v>81</v>
      </c>
      <c r="G4" s="4" t="n">
        <v>110</v>
      </c>
      <c r="H4" s="5">
        <f>IFERROR(F4/G4,0)</f>
        <v/>
      </c>
      <c r="I4" s="6" t="inlineStr">
        <is>
          <t>06-May-2024</t>
        </is>
      </c>
      <c r="J4" s="4" t="inlineStr">
        <is>
          <t>https://www.usgbc.org/projects/global-capability-center-bangalore?view=scorecard</t>
        </is>
      </c>
      <c r="K4" s="4" t="inlineStr">
        <is>
          <t>USGBC project page lists Platinum 81/110 and category-level credit detail.</t>
        </is>
      </c>
    </row>
    <row r="5">
      <c r="A5" s="4" t="inlineStr">
        <is>
          <t>Sujan Jawai</t>
        </is>
      </c>
      <c r="B5" s="4" t="inlineStr">
        <is>
          <t>Pali, Rajasthan</t>
        </is>
      </c>
      <c r="C5" s="4" t="inlineStr">
        <is>
          <t>Hospitality / hotel</t>
        </is>
      </c>
      <c r="D5" s="4" t="inlineStr">
        <is>
          <t>LEED O+M: Existing Buildings v4.1</t>
        </is>
      </c>
      <c r="E5" s="4" t="inlineStr">
        <is>
          <t>Platinum</t>
        </is>
      </c>
      <c r="F5" s="4" t="n">
        <v>85</v>
      </c>
      <c r="G5" s="4" t="n">
        <v>100</v>
      </c>
      <c r="H5" s="5">
        <f>IFERROR(F5/G5,0)</f>
        <v/>
      </c>
      <c r="I5" s="6" t="inlineStr">
        <is>
          <t>08-Feb-2024</t>
        </is>
      </c>
      <c r="J5" s="4" t="inlineStr">
        <is>
          <t>https://www.usgbc.org/projects/sujan-jawai</t>
        </is>
      </c>
      <c r="K5" s="4" t="inlineStr">
        <is>
          <t>USGBC project page lists 85 points; this O+M score uses a 100-point scale.</t>
        </is>
      </c>
    </row>
    <row r="6">
      <c r="A6" s="4" t="inlineStr">
        <is>
          <t>Indialand Tech Park Private Limited</t>
        </is>
      </c>
      <c r="B6" s="4" t="inlineStr">
        <is>
          <t>Coimbatore, Tamil Nadu</t>
        </is>
      </c>
      <c r="C6" s="4" t="inlineStr">
        <is>
          <t>Technology park</t>
        </is>
      </c>
      <c r="D6" s="4" t="inlineStr">
        <is>
          <t>LEED O+M: Existing Buildings v4.1</t>
        </is>
      </c>
      <c r="E6" s="4" t="inlineStr">
        <is>
          <t>Platinum</t>
        </is>
      </c>
      <c r="F6" s="4" t="n">
        <v>87</v>
      </c>
      <c r="G6" s="4" t="n">
        <v>100</v>
      </c>
      <c r="H6" s="5">
        <f>IFERROR(F6/G6,0)</f>
        <v/>
      </c>
      <c r="I6" s="6" t="inlineStr">
        <is>
          <t>08-Jan-2025</t>
        </is>
      </c>
      <c r="J6" s="4" t="inlineStr">
        <is>
          <t>https://www.usgbc.org/projects/indialand-tech-park-private-limited</t>
        </is>
      </c>
      <c r="K6" s="4" t="inlineStr">
        <is>
          <t>USGBC project page lists 87 points; score is not directly comparable with 110-point BD+C/ID+C scorecards.</t>
        </is>
      </c>
    </row>
    <row r="7">
      <c r="A7" s="4" t="inlineStr">
        <is>
          <t>SDB 7, Infosys Limited, Phase II, Pune</t>
        </is>
      </c>
      <c r="B7" s="4" t="inlineStr">
        <is>
          <t>Pune, Maharashtra</t>
        </is>
      </c>
      <c r="C7" s="4" t="inlineStr">
        <is>
          <t>IT / office building</t>
        </is>
      </c>
      <c r="D7" s="4" t="inlineStr">
        <is>
          <t>LEED v4.1 O+M: Existing Buildings recertification</t>
        </is>
      </c>
      <c r="E7" s="4" t="inlineStr">
        <is>
          <t>Platinum</t>
        </is>
      </c>
      <c r="F7" s="4" t="n">
        <v>86</v>
      </c>
      <c r="G7" s="4" t="n">
        <v>100</v>
      </c>
      <c r="H7" s="5">
        <f>IFERROR(F7/G7,0)</f>
        <v/>
      </c>
      <c r="I7" s="6" t="inlineStr">
        <is>
          <t>21-May-2025</t>
        </is>
      </c>
      <c r="J7" s="4" t="inlineStr">
        <is>
          <t>https://www.usgbc.org/projects/sdb-7-infosys-limited-phase-iipune</t>
        </is>
      </c>
      <c r="K7" s="4" t="inlineStr">
        <is>
          <t>USGBC lists 86 points for the 2025 recertification and a previous 90-point LEED 2009 certification.</t>
        </is>
      </c>
    </row>
    <row r="8">
      <c r="A8" s="4" t="inlineStr">
        <is>
          <t>L&amp;T Innovation Campus, Chennai - Tower 2</t>
        </is>
      </c>
      <c r="B8" s="4" t="inlineStr">
        <is>
          <t>Chennai, Tamil Nadu</t>
        </is>
      </c>
      <c r="C8" s="4" t="inlineStr">
        <is>
          <t>Commercial / office, Core and Shell</t>
        </is>
      </c>
      <c r="D8" s="4" t="inlineStr">
        <is>
          <t>LEED BD+C: Core and Shell v4</t>
        </is>
      </c>
      <c r="E8" s="4" t="inlineStr">
        <is>
          <t>Platinum</t>
        </is>
      </c>
      <c r="F8" s="4" t="n">
        <v>82</v>
      </c>
      <c r="G8" s="4" t="n">
        <v>110</v>
      </c>
      <c r="H8" s="5">
        <f>IFERROR(F8/G8,0)</f>
        <v/>
      </c>
      <c r="I8" s="6" t="inlineStr">
        <is>
          <t>25-Nov-2024</t>
        </is>
      </c>
      <c r="J8" s="4" t="inlineStr">
        <is>
          <t>https://www.usgbc.org/projects/lt-innovation-campus-chennai-tower-2</t>
        </is>
      </c>
      <c r="K8" s="4" t="inlineStr">
        <is>
          <t>USGBC project page lists Platinum 82 points.</t>
        </is>
      </c>
    </row>
    <row r="9">
      <c r="A9" s="4" t="inlineStr">
        <is>
          <t>ITC Sankhya Data Center</t>
        </is>
      </c>
      <c r="B9" s="4" t="inlineStr">
        <is>
          <t>Bengaluru, Karnataka</t>
        </is>
      </c>
      <c r="C9" s="4" t="inlineStr">
        <is>
          <t>Data centre</t>
        </is>
      </c>
      <c r="D9" s="4" t="inlineStr">
        <is>
          <t>LEED O+M: Existing Buildings v4</t>
        </is>
      </c>
      <c r="E9" s="4" t="inlineStr">
        <is>
          <t>Platinum</t>
        </is>
      </c>
      <c r="F9" s="4" t="n">
        <v>90</v>
      </c>
      <c r="G9" s="4" t="n">
        <v>100</v>
      </c>
      <c r="H9" s="5">
        <f>IFERROR(F9/G9,0)</f>
        <v/>
      </c>
      <c r="I9" s="6" t="inlineStr">
        <is>
          <t>18-May-2022</t>
        </is>
      </c>
      <c r="J9" s="4" t="inlineStr">
        <is>
          <t>https://www.usgbc.org/projects/itc-sankhya-data-center-2</t>
        </is>
      </c>
      <c r="K9" s="4" t="inlineStr">
        <is>
          <t>USGBC project page lists 90 points and LEED Zero certification information.</t>
        </is>
      </c>
    </row>
    <row r="10">
      <c r="A10" s="4" t="inlineStr">
        <is>
          <t>CII-Sohrabji Godrej Green Business Centre</t>
        </is>
      </c>
      <c r="B10" s="4" t="inlineStr">
        <is>
          <t>Hyderabad, Telangana</t>
        </is>
      </c>
      <c r="C10" s="4" t="inlineStr">
        <is>
          <t>Green business centre / office</t>
        </is>
      </c>
      <c r="D10" s="4" t="inlineStr">
        <is>
          <t>LEED-NC v2.0</t>
        </is>
      </c>
      <c r="E10" s="4" t="inlineStr">
        <is>
          <t>Platinum</t>
        </is>
      </c>
      <c r="F10" s="4" t="n">
        <v>56</v>
      </c>
      <c r="G10" s="4" t="n">
        <v>69</v>
      </c>
      <c r="H10" s="5">
        <f>IFERROR(F10/G10,0)</f>
        <v/>
      </c>
      <c r="I10" s="6" t="inlineStr">
        <is>
          <t>31-Oct-2003</t>
        </is>
      </c>
      <c r="J10" s="4" t="inlineStr">
        <is>
          <t>https://www.usgbc.org/projects/cii-sohrabji-godrej-green-business-centr</t>
        </is>
      </c>
      <c r="K10" s="4" t="inlineStr">
        <is>
          <t>Early LEED version; USGBC lists 56 points. Do not compare raw totals directly with newer versions.</t>
        </is>
      </c>
    </row>
    <row r="11">
      <c r="A11" s="4" t="inlineStr">
        <is>
          <t>SDB 7 - Infosys Hyderabad Pocharam Phase II</t>
        </is>
      </c>
      <c r="B11" s="4" t="inlineStr">
        <is>
          <t>Hyderabad, Telangana</t>
        </is>
      </c>
      <c r="C11" s="4" t="inlineStr">
        <is>
          <t>IT / office building</t>
        </is>
      </c>
      <c r="D11" s="4" t="inlineStr">
        <is>
          <t>LEED BD+C: Core and Shell v4</t>
        </is>
      </c>
      <c r="E11" s="4" t="inlineStr">
        <is>
          <t>Platinum</t>
        </is>
      </c>
      <c r="F11" s="4" t="n">
        <v>81</v>
      </c>
      <c r="G11" s="4" t="n">
        <v>110</v>
      </c>
      <c r="H11" s="5">
        <f>IFERROR(F11/G11,0)</f>
        <v/>
      </c>
      <c r="I11" s="6" t="inlineStr">
        <is>
          <t>13-Feb-2024</t>
        </is>
      </c>
      <c r="J11" s="4" t="inlineStr">
        <is>
          <t>https://www.usgbc.org/projects/sdb-7-infosys-hyd-pocharam-phase-ii?view=scorecard</t>
        </is>
      </c>
      <c r="K11" s="4" t="inlineStr">
        <is>
          <t>USGBC scorecard snippet lists Platinum 81/110 with credit-category details.</t>
        </is>
      </c>
    </row>
    <row r="13" ht="20" customHeight="1">
      <c r="A13" s="12" t="inlineStr">
        <is>
          <t>Submitted by</t>
        </is>
      </c>
      <c r="B13" s="13" t="inlineStr">
        <is>
          <t>Hritvi Narvekar</t>
        </is>
      </c>
    </row>
    <row r="14" ht="20" customHeight="1">
      <c r="A14" s="12" t="inlineStr">
        <is>
          <t>Roll No.</t>
        </is>
      </c>
      <c r="B14" s="13" t="inlineStr">
        <is>
          <t>24102C0073</t>
        </is>
      </c>
    </row>
  </sheetData>
  <autoFilter ref="A3:K11"/>
  <mergeCells count="2">
    <mergeCell ref="A1:J1"/>
    <mergeCell ref="A2:J2"/>
  </mergeCells>
  <conditionalFormatting sqref="H4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2" customWidth="1" min="4" max="4"/>
    <col width="25" customWidth="1" min="5" max="5"/>
    <col width="62" customWidth="1" min="6" max="6"/>
  </cols>
  <sheetData>
    <row r="1">
      <c r="A1" s="7" t="inlineStr">
        <is>
          <t>LEED v5 BD+C SCORECARD TEMPLATE (JULY 2026)</t>
        </is>
      </c>
    </row>
    <row r="2" ht="34" customHeight="1">
      <c r="A2" s="8" t="inlineStr">
        <is>
          <t>Template based on the uploaded LEED v5 BD+C rating system, scorecard pages 1–2. Enter earned points only when the project is assessed under this rating system.</t>
        </is>
      </c>
    </row>
    <row r="3" ht="42" customHeight="1">
      <c r="A3" s="3" t="inlineStr">
        <is>
          <t>Credit category</t>
        </is>
      </c>
      <c r="B3" s="3" t="inlineStr">
        <is>
          <t>New Construction max points</t>
        </is>
      </c>
      <c r="C3" s="3" t="inlineStr">
        <is>
          <t>Core &amp; Shell max points</t>
        </is>
      </c>
      <c r="D3" s="3" t="inlineStr">
        <is>
          <t>Points earned (enter)</t>
        </is>
      </c>
      <c r="E3" s="3" t="inlineStr">
        <is>
          <t>Core &amp; Shell earned (enter)</t>
        </is>
      </c>
      <c r="F3" s="3" t="inlineStr">
        <is>
          <t>Notes</t>
        </is>
      </c>
    </row>
    <row r="4">
      <c r="A4" s="4" t="inlineStr">
        <is>
          <t>Integrative Process, Planning and Assessments (IP)</t>
        </is>
      </c>
      <c r="B4" s="4" t="n">
        <v>1</v>
      </c>
      <c r="C4" s="4" t="n">
        <v>7</v>
      </c>
      <c r="D4" s="4" t="n"/>
      <c r="E4" s="4" t="n"/>
      <c r="F4" s="4" t="inlineStr">
        <is>
          <t>Prerequisites are required separately; they do not add points.</t>
        </is>
      </c>
    </row>
    <row r="5">
      <c r="A5" s="4" t="inlineStr">
        <is>
          <t>Location and Transportation (LT)</t>
        </is>
      </c>
      <c r="B5" s="4" t="n">
        <v>15</v>
      </c>
      <c r="C5" s="4" t="n">
        <v>15</v>
      </c>
      <c r="D5" s="4" t="n"/>
      <c r="E5" s="4" t="n"/>
      <c r="F5" s="4" t="inlineStr">
        <is>
          <t>Prerequisites are required separately; they do not add points.</t>
        </is>
      </c>
    </row>
    <row r="6">
      <c r="A6" s="4" t="inlineStr">
        <is>
          <t>Sustainable Sites (SS)</t>
        </is>
      </c>
      <c r="B6" s="4" t="n">
        <v>11</v>
      </c>
      <c r="C6" s="4" t="n">
        <v>11</v>
      </c>
      <c r="D6" s="4" t="n"/>
      <c r="E6" s="4" t="n"/>
      <c r="F6" s="4" t="inlineStr">
        <is>
          <t>Prerequisites are required separately; they do not add points.</t>
        </is>
      </c>
    </row>
    <row r="7">
      <c r="A7" s="4" t="inlineStr">
        <is>
          <t>Water Efficiency (WE)</t>
        </is>
      </c>
      <c r="B7" s="4" t="n">
        <v>9</v>
      </c>
      <c r="C7" s="4" t="n">
        <v>8</v>
      </c>
      <c r="D7" s="4" t="n"/>
      <c r="E7" s="4" t="n"/>
      <c r="F7" s="4" t="inlineStr">
        <is>
          <t>Prerequisites are required separately; they do not add points.</t>
        </is>
      </c>
    </row>
    <row r="8">
      <c r="A8" s="4" t="inlineStr">
        <is>
          <t>Energy and Atmosphere (EA)</t>
        </is>
      </c>
      <c r="B8" s="4" t="n">
        <v>33</v>
      </c>
      <c r="C8" s="4" t="n">
        <v>27</v>
      </c>
      <c r="D8" s="4" t="n"/>
      <c r="E8" s="4" t="n"/>
      <c r="F8" s="4" t="inlineStr">
        <is>
          <t>Prerequisites are required separately; they do not add points.</t>
        </is>
      </c>
    </row>
    <row r="9">
      <c r="A9" s="4" t="inlineStr">
        <is>
          <t>Materials and Resources (MR)</t>
        </is>
      </c>
      <c r="B9" s="4" t="n">
        <v>18</v>
      </c>
      <c r="C9" s="4" t="n">
        <v>21</v>
      </c>
      <c r="D9" s="4" t="n"/>
      <c r="E9" s="4" t="n"/>
      <c r="F9" s="4" t="inlineStr">
        <is>
          <t>Prerequisites are required separately; they do not add points.</t>
        </is>
      </c>
    </row>
    <row r="10">
      <c r="A10" s="4" t="inlineStr">
        <is>
          <t>Indoor Environmental Quality (EQ)</t>
        </is>
      </c>
      <c r="B10" s="4" t="n">
        <v>13</v>
      </c>
      <c r="C10" s="4" t="n">
        <v>11</v>
      </c>
      <c r="D10" s="4" t="n"/>
      <c r="E10" s="4" t="n"/>
      <c r="F10" s="4" t="inlineStr">
        <is>
          <t>Prerequisites are required separately; they do not add points.</t>
        </is>
      </c>
    </row>
    <row r="11">
      <c r="A11" s="4" t="inlineStr">
        <is>
          <t>Project Priorities (PR)</t>
        </is>
      </c>
      <c r="B11" s="4" t="n">
        <v>10</v>
      </c>
      <c r="C11" s="4" t="n">
        <v>10</v>
      </c>
      <c r="D11" s="4" t="n"/>
      <c r="E11" s="4" t="n"/>
      <c r="F11" s="4" t="inlineStr">
        <is>
          <t>Prerequisites are required separately; they do not add points.</t>
        </is>
      </c>
    </row>
    <row r="12">
      <c r="A12" s="9" t="inlineStr">
        <is>
          <t>TOTAL</t>
        </is>
      </c>
      <c r="B12" s="9">
        <f>SUM(B4:B11)</f>
        <v/>
      </c>
      <c r="C12" s="9">
        <f>SUM(C4:C11)</f>
        <v/>
      </c>
      <c r="D12" s="9">
        <f>IF(COUNT(D4:D11)=0,"",SUM(D4:D11))</f>
        <v/>
      </c>
      <c r="E12" s="9">
        <f>IF(COUNT(E4:E11)=0,"",SUM(E4:E11))</f>
        <v/>
      </c>
      <c r="F12" s="9" t="inlineStr">
        <is>
          <t>Maximum possible points: 110 for either pathway.</t>
        </is>
      </c>
    </row>
    <row r="14" ht="20" customHeight="1">
      <c r="A14" s="12" t="inlineStr">
        <is>
          <t>Submitted by</t>
        </is>
      </c>
      <c r="B14" s="13" t="inlineStr">
        <is>
          <t>Hritvi Narvekar</t>
        </is>
      </c>
    </row>
    <row r="15" ht="20" customHeight="1">
      <c r="A15" s="12" t="inlineStr">
        <is>
          <t>Roll No.</t>
        </is>
      </c>
      <c r="B15" s="13" t="inlineStr">
        <is>
          <t>24102C0073</t>
        </is>
      </c>
    </row>
  </sheetData>
  <mergeCells count="2">
    <mergeCell ref="A2:F2"/>
    <mergeCell ref="A1:F1"/>
  </mergeCells>
  <dataValidations count="1">
    <dataValidation sqref="D4:E11" showDropDown="0" showInputMessage="0" showErrorMessage="0" allowBlank="1" errorTitle="Invalid points" error="Enter a whole number between 0 and 110." promptTitle="Points earned" prompt="Enter the earned points for this category, if known." type="whole" operator="between">
      <formula1>0</formula1>
      <formula2>110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  <col width="85" customWidth="1" min="3" max="3"/>
  </cols>
  <sheetData>
    <row r="1">
      <c r="A1" s="7" t="inlineStr">
        <is>
          <t>SOURCES, DEFINITIONS AND METHOD</t>
        </is>
      </c>
    </row>
    <row r="2">
      <c r="A2" s="3" t="inlineStr">
        <is>
          <t>Project / reference</t>
        </is>
      </c>
      <c r="B2" s="3" t="inlineStr">
        <is>
          <t>Source URL</t>
        </is>
      </c>
      <c r="C2" s="3" t="inlineStr">
        <is>
          <t>How it is used</t>
        </is>
      </c>
    </row>
    <row r="3">
      <c r="A3" s="4" t="inlineStr">
        <is>
          <t>Global Capability Center, Bangalore</t>
        </is>
      </c>
      <c r="B3" s="10" t="inlineStr">
        <is>
          <t>https://www.usgbc.org/projects/global-capability-center-bangalore?view=scorecard</t>
        </is>
      </c>
      <c r="C3" s="4" t="inlineStr">
        <is>
          <t>Published score: Platinum, 81/110; ID+C v4.</t>
        </is>
      </c>
    </row>
    <row r="4">
      <c r="A4" s="4" t="inlineStr">
        <is>
          <t>Sujan Jawai</t>
        </is>
      </c>
      <c r="B4" s="10" t="inlineStr">
        <is>
          <t>https://www.usgbc.org/projects/sujan-jawai</t>
        </is>
      </c>
      <c r="C4" s="4" t="inlineStr">
        <is>
          <t>Published score: Platinum, 85 points; O+M v4.1.</t>
        </is>
      </c>
    </row>
    <row r="5">
      <c r="A5" s="4" t="inlineStr">
        <is>
          <t>Indialand Tech Park</t>
        </is>
      </c>
      <c r="B5" s="10" t="inlineStr">
        <is>
          <t>https://www.usgbc.org/projects/indialand-tech-park-private-limited</t>
        </is>
      </c>
      <c r="C5" s="4" t="inlineStr">
        <is>
          <t>Published score: Platinum, 87 points; O+M v4.1.</t>
        </is>
      </c>
    </row>
    <row r="6">
      <c r="A6" s="4" t="inlineStr">
        <is>
          <t>Infosys Pune SDB 7</t>
        </is>
      </c>
      <c r="B6" s="10" t="inlineStr">
        <is>
          <t>https://www.usgbc.org/projects/sdb-7-infosys-limited-phase-iipune</t>
        </is>
      </c>
      <c r="C6" s="4" t="inlineStr">
        <is>
          <t>Published score: Platinum, 86 points for 2025 v4.1 O+M recertification.</t>
        </is>
      </c>
    </row>
    <row r="7">
      <c r="A7" s="4" t="inlineStr">
        <is>
          <t>L&amp;T Innovation Campus Chennai Tower 2</t>
        </is>
      </c>
      <c r="B7" s="10" t="inlineStr">
        <is>
          <t>https://www.usgbc.org/projects/lt-innovation-campus-chennai-tower-2</t>
        </is>
      </c>
      <c r="C7" s="4" t="inlineStr">
        <is>
          <t>Published score: Platinum, 82 points; BD+C Core and Shell v4.</t>
        </is>
      </c>
    </row>
    <row r="8">
      <c r="A8" s="4" t="inlineStr">
        <is>
          <t>ITC Sankhya Data Center</t>
        </is>
      </c>
      <c r="B8" s="10" t="inlineStr">
        <is>
          <t>https://www.usgbc.org/projects/itc-sankhya-data-center-2</t>
        </is>
      </c>
      <c r="C8" s="4" t="inlineStr">
        <is>
          <t>Published score: Platinum, 90 points; O+M v4.</t>
        </is>
      </c>
    </row>
    <row r="9">
      <c r="A9" s="4" t="inlineStr">
        <is>
          <t>CII-Sohrabji Godrej Green Business Centre</t>
        </is>
      </c>
      <c r="B9" s="10" t="inlineStr">
        <is>
          <t>https://www.usgbc.org/projects/cii-sohrabji-godrej-green-business-centr</t>
        </is>
      </c>
      <c r="C9" s="4" t="inlineStr">
        <is>
          <t>Published score: Platinum, 56 points; LEED-NC v2.0.</t>
        </is>
      </c>
    </row>
    <row r="10">
      <c r="A10" s="4" t="inlineStr">
        <is>
          <t>Infosys Hyderabad Pocharam Phase II</t>
        </is>
      </c>
      <c r="B10" s="10" t="inlineStr">
        <is>
          <t>https://www.usgbc.org/projects/sdb-7-infosys-hyd-pocharam-phase-ii?view=scorecard</t>
        </is>
      </c>
      <c r="C10" s="4" t="inlineStr">
        <is>
          <t>Published score: Platinum, 81/110; BD+C Core and Shell v4.</t>
        </is>
      </c>
    </row>
    <row r="11">
      <c r="A11" s="4" t="inlineStr">
        <is>
          <t>LEED v5 BD+C rating system scorecard (USGBC)</t>
        </is>
      </c>
      <c r="B11" s="10" t="inlineStr">
        <is>
          <t>https://www.usgbc.org/leed-tools/scorecard</t>
        </is>
      </c>
      <c r="C11" s="4" t="inlineStr">
        <is>
          <t>General LEED scorecard guidance; uploaded PDF pages 1–2 provide v5 category totals.</t>
        </is>
      </c>
    </row>
    <row r="12"/>
    <row r="13">
      <c r="A13" s="11" t="inlineStr">
        <is>
          <t>Important interpretation note</t>
        </is>
      </c>
    </row>
    <row r="14" ht="52" customHeight="1">
      <c r="A14" s="4" t="inlineStr">
        <is>
          <t>LEED score totals are not automatically comparable across rating-system versions or project types. A 100-point O+M score, a 110-point BD+C/ID+C score, and an older LEED v2 score have different credit structures. The v5 sheet is a blank data-entry template, not a claim that these buildings were certified under LEED v5.</t>
        </is>
      </c>
    </row>
    <row r="16" ht="20" customHeight="1">
      <c r="A16" s="12" t="inlineStr">
        <is>
          <t>Submitted by</t>
        </is>
      </c>
      <c r="B16" s="13" t="inlineStr">
        <is>
          <t>Hritvi Narvekar</t>
        </is>
      </c>
    </row>
    <row r="17" ht="20" customHeight="1">
      <c r="A17" s="12" t="inlineStr">
        <is>
          <t>Roll No.</t>
        </is>
      </c>
      <c r="B17" s="13" t="inlineStr">
        <is>
          <t>24102C0073</t>
        </is>
      </c>
    </row>
  </sheetData>
  <mergeCells count="2">
    <mergeCell ref="A1:C1"/>
    <mergeCell ref="A14:C14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2026-10-13T02:56:20Z</dcterms:created>
  <dcterms:modified xmlns:dcterms="http://purl.org/dc/terms/" xmlns:xsi="http://www.w3.org/2001/XMLSchema-instance" xsi:type="dcterms:W3CDTF">2026-10-16T11:18:06Z</dcterms:modified>
</cp:coreProperties>
</file>