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Scorecard" sheetId="1" state="visible" r:id="rId3"/>
    <sheet name="Instructions" sheetId="2" state="visible" r:id="rId4"/>
    <sheet name="1_Generation_Inventory" sheetId="3" state="visible" r:id="rId5"/>
    <sheet name="2_Collection_Log" sheetId="4" state="visible" r:id="rId6"/>
    <sheet name="3_Recycling_Infrastructure" sheetId="5" state="visible" r:id="rId7"/>
    <sheet name="4_Compliance_Tracker" sheetId="6" state="visible" r:id="rId8"/>
    <sheet name="5_Informal_Sector_Hotspots" sheetId="7" state="visible" r:id="rId9"/>
    <sheet name="6_Env_Health_Monitoring" sheetId="8" state="visible" r:id="rId10"/>
    <sheet name="7_Awareness_Program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<sst xmlns="http://schemas.openxmlformats.org/spreadsheetml/2006/main" count="351" uniqueCount="229">
  <si>
    <t xml:space="preserve">Mizoram State E-Waste Management Scorecard</t>
  </si>
  <si>
    <t xml:space="preserve">Live score out of 100, calculated from the 7 data sheets. Set benchmarks in the yellow 'Target/Benchmark' cells.</t>
  </si>
  <si>
    <t xml:space="preserve">Prepared by: Hritvi Narvekar  |  Roll No: 24102C0073  |  CMPN C (TE)</t>
  </si>
  <si>
    <t xml:space="preserve">STATE SCORE</t>
  </si>
  <si>
    <t xml:space="preserve">#</t>
  </si>
  <si>
    <t xml:space="preserve">Category</t>
  </si>
  <si>
    <t xml:space="preserve">Weight</t>
  </si>
  <si>
    <t xml:space="preserve">Benchmark / Target</t>
  </si>
  <si>
    <t xml:space="preserve">Achieved Value</t>
  </si>
  <si>
    <t xml:space="preserve">Achievement %</t>
  </si>
  <si>
    <t xml:space="preserve">Score Earned</t>
  </si>
  <si>
    <t xml:space="preserve">Generation &amp; Inventory</t>
  </si>
  <si>
    <t xml:space="preserve">Collection Performance</t>
  </si>
  <si>
    <t xml:space="preserve">Formal Recycling &amp; Treatment</t>
  </si>
  <si>
    <t xml:space="preserve">Regulatory Compliance</t>
  </si>
  <si>
    <t xml:space="preserve">Informal Sector Integration</t>
  </si>
  <si>
    <t xml:space="preserve">Environmental &amp; Health Safeguards</t>
  </si>
  <si>
    <t xml:space="preserve">Awareness &amp; Outreach</t>
  </si>
  <si>
    <t xml:space="preserve">TOTAL SCORE</t>
  </si>
  <si>
    <t xml:space="preserve">Score Bands:</t>
  </si>
  <si>
    <t xml:space="preserve">85-100</t>
  </si>
  <si>
    <t xml:space="preserve">Excellent</t>
  </si>
  <si>
    <t xml:space="preserve">65-84</t>
  </si>
  <si>
    <t xml:space="preserve">Good</t>
  </si>
  <si>
    <t xml:space="preserve">45-64</t>
  </si>
  <si>
    <t xml:space="preserve">Needs Improvement</t>
  </si>
  <si>
    <t xml:space="preserve">0-44</t>
  </si>
  <si>
    <t xml:space="preserve">Critical</t>
  </si>
  <si>
    <t xml:space="preserve">Benchmarks are editable (yellow). Collection rate = collected / generated; Formal recycling = installed authorised capacity / generation (as in the original design).</t>
  </si>
  <si>
    <t xml:space="preserve">Mizoram State E-Waste Management Tracker - Scoring Methodology</t>
  </si>
  <si>
    <t xml:space="preserve">A 100-point scorecard for monitoring Mizoram's e-waste generation, collection, formal treatment, compliance, and health/environmental safeguards, in line with the E-Waste (Management) Rules, 2022 (CPCB, India). Regulator: Mizoram Pollution Control Board (MPCB), Aizawl.</t>
  </si>
  <si>
    <t xml:space="preserve">Indicators (data source sheet)</t>
  </si>
  <si>
    <t xml:space="preserve">District reporting completeness; category-wise breakup; annual inventory update  -&gt;  '1_Generation_Inventory'</t>
  </si>
  <si>
    <t xml:space="preserve">Collection rate (%); collection centers per million population; EPR collection-target achievement  -&gt;  '2_Collection_Log'</t>
  </si>
  <si>
    <t xml:space="preserve">% processed by authorized recyclers; installed capacity vs generation; material recovery rate  -&gt;  '3_Recycling_Infrastructure'</t>
  </si>
  <si>
    <t xml:space="preserve">% producers/EPR entities compliant; inspections conducted vs planned; penalties resolved  -&gt;  '4_Compliance_Tracker'</t>
  </si>
  <si>
    <t xml:space="preserve">% hotspots formalized/remediated; % informal workers registered/trained  -&gt;  '5_Informal_Sector_Hotspots'</t>
  </si>
  <si>
    <t xml:space="preserve">% hotspots environmentally monitored; health screening camps conducted  -&gt;  '6_Env_Health_Monitoring'</t>
  </si>
  <si>
    <t xml:space="preserve">Awareness campaigns vs target; collection drives vs target  -&gt;  '7_Awareness_Programs'</t>
  </si>
  <si>
    <t xml:space="preserve">TOTAL</t>
  </si>
  <si>
    <t xml:space="preserve">How to use this workbook</t>
  </si>
  <si>
    <t xml:space="preserve">- Enter data in the 7 numbered sheets (yellow cells = your input). The sheets are pre-filled with ILLUSTRATIVE Mizoram data - overwrite them with official records.</t>
  </si>
  <si>
    <t xml:space="preserve">- Set your benchmarks/targets on the '0_Scorecard' sheet (yellow cells) - e.g. collection centers per million population, EPR targets, inspection/campaign targets.</t>
  </si>
  <si>
    <t xml:space="preserve">- The '0_Scorecard' sheet pulls live figures from all 7 sheets and computes the state's score out of 100 automatically. Do not overwrite formula cells (Total Generated, Generated [from Sheet 1], summary rows, Scorecard).</t>
  </si>
  <si>
    <t xml:space="preserve">- Score bands (customisable on Scorecard): 85-100 Excellent | 65-84 Good | 45-64 Needs Improvement | Below 45 Critical.</t>
  </si>
  <si>
    <t xml:space="preserve">- Re-run this tracker every quarter/year to monitor trend - copy the Scorecard total into a tracking log for year-on-year comparison.</t>
  </si>
  <si>
    <t xml:space="preserve">Data sources &amp; assumptions</t>
  </si>
  <si>
    <t xml:space="preserve">- Population: Census 2011 (ORGI), redistributed to Mizoram's 11 districts (2023 boundaries); state total 1,097,206.</t>
  </si>
  <si>
    <t xml:space="preserve">- E-waste generation, collection, recyclers, EPR entities, hotspots, monitoring and campaigns are illustrative sample data for an academic exercise.</t>
  </si>
  <si>
    <t xml:space="preserve">- Generation model: 0.31 kg/person (x1.5 Aizawl, x0.75 remote districts); same method as the Himachal Pradesh reference sheet.</t>
  </si>
  <si>
    <t xml:space="preserve">- Formula fixes vs. the reference workbook: collection rate now uses Collected / Generated; Sheets 6 &amp; 7 summary formulas and dropdowns re-aligned to the Date column; district reporting uses COUNT of district totals.</t>
  </si>
  <si>
    <t xml:space="preserve">Generation Inventory</t>
  </si>
  <si>
    <t xml:space="preserve">One row per district (Mizoram has 11). Category-wise breakup based on E-Waste (Management) Rules, 2022, Schedule I (simplified).</t>
  </si>
  <si>
    <t xml:space="preserve">District</t>
  </si>
  <si>
    <t xml:space="preserve">Population</t>
  </si>
  <si>
    <t xml:space="preserve">IT &amp; Telecom (kg)</t>
  </si>
  <si>
    <t xml:space="preserve">Consumer Electrical &amp; Electronics (kg)</t>
  </si>
  <si>
    <t xml:space="preserve">Large &amp; Small Equipment (kg)</t>
  </si>
  <si>
    <t xml:space="preserve">Lighting Equipment (kg)</t>
  </si>
  <si>
    <t xml:space="preserve">Batteries (kg)</t>
  </si>
  <si>
    <t xml:space="preserve">Other (kg)</t>
  </si>
  <si>
    <t xml:space="preserve">Total Generated (kg)</t>
  </si>
  <si>
    <t xml:space="preserve">Date Last Updated</t>
  </si>
  <si>
    <t xml:space="preserve">Aizawl</t>
  </si>
  <si>
    <t xml:space="preserve">Lunglei</t>
  </si>
  <si>
    <t xml:space="preserve">Lawngtlai</t>
  </si>
  <si>
    <t xml:space="preserve">Mamit</t>
  </si>
  <si>
    <t xml:space="preserve">Kolasib</t>
  </si>
  <si>
    <t xml:space="preserve">Champhai</t>
  </si>
  <si>
    <t xml:space="preserve">Serchhip</t>
  </si>
  <si>
    <t xml:space="preserve">Saiha</t>
  </si>
  <si>
    <t xml:space="preserve">Khawzawl</t>
  </si>
  <si>
    <t xml:space="preserve">Saitual</t>
  </si>
  <si>
    <t xml:space="preserve">Hnahthial</t>
  </si>
  <si>
    <t xml:space="preserve">STATE TOTAL</t>
  </si>
  <si>
    <t xml:space="preserve">Population: Census of India 2011, redistributed to Mizoram's 11 districts (2023 boundaries) - source: citypopulation.de (ORGI/Delimitation Commission). Sum = 1,097,206.</t>
  </si>
  <si>
    <t xml:space="preserve">Generation is an ILLUSTRATIVE estimate: per-capita model of 0.31 kg/person (IT 0.12, Consumer 0.08, Large/Small 0.05, Lighting 0.02, Batteries 0.03, Other 0.01), x1.5 for urban Aizawl, x0.75 for remote districts.</t>
  </si>
  <si>
    <t xml:space="preserve">Replace with Mizoram Pollution Control Board (MPCB) / CPCB inventory figures when available.</t>
  </si>
  <si>
    <t xml:space="preserve">Collection Log</t>
  </si>
  <si>
    <t xml:space="preserve">One row per district. 'Generated' auto-pulls from Sheet 1 by district name - keep district names identical across sheets.</t>
  </si>
  <si>
    <t xml:space="preserve">Generated (kg) [from Sheet 1]</t>
  </si>
  <si>
    <t xml:space="preserve">Collected (kg)</t>
  </si>
  <si>
    <t xml:space="preserve">Registered Collection Centers</t>
  </si>
  <si>
    <t xml:space="preserve">EPR Collection Target (kg)</t>
  </si>
  <si>
    <t xml:space="preserve">EPR Collection Achieved (kg)</t>
  </si>
  <si>
    <t xml:space="preserve">Remarks</t>
  </si>
  <si>
    <t xml:space="preserve">Regular tracking</t>
  </si>
  <si>
    <t xml:space="preserve">Centre needed</t>
  </si>
  <si>
    <t xml:space="preserve">No centre yet</t>
  </si>
  <si>
    <t xml:space="preserve">Collected / EPR figures are ILLUSTRATIVE (collection assumed 3-14% of generated; EPR target = collected +10%; achieved = 90% of collected). Replace with MPCB / producer EPR returns.</t>
  </si>
  <si>
    <t xml:space="preserve">Recycling Infrastructure</t>
  </si>
  <si>
    <t xml:space="preserve">One row per CPCB/SPCB-authorized recycler or dismantler operating in the state.</t>
  </si>
  <si>
    <t xml:space="preserve">Recycler / Dismantler Name</t>
  </si>
  <si>
    <t xml:space="preserve">CPCB/SPCB Authorization No.</t>
  </si>
  <si>
    <t xml:space="preserve">Installed Capacity (tonnes/yr)</t>
  </si>
  <si>
    <t xml:space="preserve">Quantity Processed This Year (tonnes)</t>
  </si>
  <si>
    <t xml:space="preserve">Material Recovery Rate (%)</t>
  </si>
  <si>
    <t xml:space="preserve">Authorization Valid Till</t>
  </si>
  <si>
    <t xml:space="preserve">Aizawl E-Waste Dismantling Unit (Illustrative)</t>
  </si>
  <si>
    <t xml:space="preserve">MPCB/EW/2024/01</t>
  </si>
  <si>
    <t xml:space="preserve">Lunglei Green Recyclers (Illustrative)</t>
  </si>
  <si>
    <t xml:space="preserve">MPCB/EW/2023/02</t>
  </si>
  <si>
    <t xml:space="preserve">Kolasib Electronics Collection-cum-Dismantling (Illustrative)</t>
  </si>
  <si>
    <t xml:space="preserve">MPCB/EW/2025/03</t>
  </si>
  <si>
    <t xml:space="preserve">Recycler names, authorisation numbers and tonnages are ILLUSTRATIVE placeholders (no public MPCB/CPCB authorised-recycler list could be confirmed for Mizoram). Replace with verified records.</t>
  </si>
  <si>
    <t xml:space="preserve">State total: capacity and quantity processed are summed; recovery rate is the processed-weighted average.</t>
  </si>
  <si>
    <t xml:space="preserve">Compliance Tracker</t>
  </si>
  <si>
    <t xml:space="preserve">One row per registered producer / EPR entity operating in the state.</t>
  </si>
  <si>
    <t xml:space="preserve">Producer / EPR Entity</t>
  </si>
  <si>
    <t xml:space="preserve">EPR Registration No.</t>
  </si>
  <si>
    <t xml:space="preserve">Compliance Status</t>
  </si>
  <si>
    <t xml:space="preserve">Inspection Planned (Y/N)</t>
  </si>
  <si>
    <t xml:space="preserve">Inspection Conducted (Y/N)</t>
  </si>
  <si>
    <t xml:space="preserve">Penalty / Show-Cause Issued (Y/N)</t>
  </si>
  <si>
    <t xml:space="preserve">Penalty Resolved (Y/N)</t>
  </si>
  <si>
    <t xml:space="preserve">Aizawl Electronics Distributors Pvt Ltd</t>
  </si>
  <si>
    <t xml:space="preserve">EPR/MZ/2023/001</t>
  </si>
  <si>
    <t xml:space="preserve">Compliant</t>
  </si>
  <si>
    <t xml:space="preserve">Yes</t>
  </si>
  <si>
    <t xml:space="preserve">No</t>
  </si>
  <si>
    <t xml:space="preserve">N/A</t>
  </si>
  <si>
    <t xml:space="preserve">Target met</t>
  </si>
  <si>
    <t xml:space="preserve">Zoram Appliances &amp; Mobiles</t>
  </si>
  <si>
    <t xml:space="preserve">EPR/MZ/2022/004</t>
  </si>
  <si>
    <t xml:space="preserve">Non-compliant</t>
  </si>
  <si>
    <t xml:space="preserve">Target missed by 25%</t>
  </si>
  <si>
    <t xml:space="preserve">Mizo Telecom Traders</t>
  </si>
  <si>
    <t xml:space="preserve">EPR/MZ/2024/007</t>
  </si>
  <si>
    <t xml:space="preserve">Lunglei Digital Hub</t>
  </si>
  <si>
    <t xml:space="preserve">EPR/MZ/2024/011</t>
  </si>
  <si>
    <t xml:space="preserve">Under Review</t>
  </si>
  <si>
    <t xml:space="preserve">Pending inspection</t>
  </si>
  <si>
    <t xml:space="preserve">Champhai Electricals</t>
  </si>
  <si>
    <t xml:space="preserve">EPR/MZ/2021/003</t>
  </si>
  <si>
    <t xml:space="preserve">Kolasib IT Solutions</t>
  </si>
  <si>
    <t xml:space="preserve">EPR/MZ/2023/009</t>
  </si>
  <si>
    <t xml:space="preserve">Penalty paid</t>
  </si>
  <si>
    <t xml:space="preserve">Serchhip Home Appliances</t>
  </si>
  <si>
    <t xml:space="preserve">EPR/MZ/2025/014</t>
  </si>
  <si>
    <t xml:space="preserve">Inspection scheduled</t>
  </si>
  <si>
    <t xml:space="preserve">Lengpui Retail Electronics</t>
  </si>
  <si>
    <t xml:space="preserve">EPR/MZ/2022/006</t>
  </si>
  <si>
    <t xml:space="preserve">Total Registered</t>
  </si>
  <si>
    <t xml:space="preserve">Inspections Planned</t>
  </si>
  <si>
    <t xml:space="preserve">Inspections Conducted</t>
  </si>
  <si>
    <t xml:space="preserve">Penalties Issued</t>
  </si>
  <si>
    <t xml:space="preserve">Penalties Resolved</t>
  </si>
  <si>
    <t xml:space="preserve">Entity names and EPR registration numbers are ILLUSTRATIVE placeholders for an academic exercise. Replace with CPCB EPR portal / MPCB records.</t>
  </si>
  <si>
    <t xml:space="preserve">Informal Sector Hotspots</t>
  </si>
  <si>
    <t xml:space="preserve">One row per known informal e-waste recycling hotspot/cluster in the state.</t>
  </si>
  <si>
    <t xml:space="preserve">Hotspot / Informal Cluster Name</t>
  </si>
  <si>
    <t xml:space="preserve">Status</t>
  </si>
  <si>
    <t xml:space="preserve">Estimated Informal Workers</t>
  </si>
  <si>
    <t xml:space="preserve">Workers Registered / Trained</t>
  </si>
  <si>
    <t xml:space="preserve">Formalization Action Taken</t>
  </si>
  <si>
    <t xml:space="preserve">Aizawl Central Scrap Dealers Cluster</t>
  </si>
  <si>
    <t xml:space="preserve">Partially Formalized</t>
  </si>
  <si>
    <t xml:space="preserve">Linked with Aizawl dismantling unit</t>
  </si>
  <si>
    <t xml:space="preserve">Ongoing</t>
  </si>
  <si>
    <t xml:space="preserve">Lunglei Town Scrap Yard</t>
  </si>
  <si>
    <t xml:space="preserve">Active (Not Formalized)</t>
  </si>
  <si>
    <t xml:space="preserve">Awareness drive done</t>
  </si>
  <si>
    <t xml:space="preserve">Pending registration</t>
  </si>
  <si>
    <t xml:space="preserve">Champhai Border-Trade Scrap Market</t>
  </si>
  <si>
    <t xml:space="preserve">Survey completed</t>
  </si>
  <si>
    <t xml:space="preserve">Kolasib Highway Scrap Yard</t>
  </si>
  <si>
    <t xml:space="preserve">Linked with Kolasib unit</t>
  </si>
  <si>
    <t xml:space="preserve">Lawngtlai Bazaar Repair Cluster</t>
  </si>
  <si>
    <t xml:space="preserve">Mapping started</t>
  </si>
  <si>
    <t xml:space="preserve">Pending</t>
  </si>
  <si>
    <t xml:space="preserve">Serchhip Electronics Repair Lane</t>
  </si>
  <si>
    <t xml:space="preserve">Formalized</t>
  </si>
  <si>
    <t xml:space="preserve">Registered &amp; trained</t>
  </si>
  <si>
    <t xml:space="preserve">Closed</t>
  </si>
  <si>
    <t xml:space="preserve">Total Hotspots</t>
  </si>
  <si>
    <t xml:space="preserve">Formalized/Remediated</t>
  </si>
  <si>
    <t xml:space="preserve">Estimated Workers (Total)</t>
  </si>
  <si>
    <t xml:space="preserve">Workers Registered/Trained (Total)</t>
  </si>
  <si>
    <t xml:space="preserve">Hotspot names, worker counts and statuses are ILLUSTRATIVE (no official hotspot survey for Mizoram was found). Replace with field survey / MPCB data.</t>
  </si>
  <si>
    <t xml:space="preserve">Env Health Monitoring</t>
  </si>
  <si>
    <t xml:space="preserve">One row per environmental monitoring visit or health camp conducted at a hotspot.</t>
  </si>
  <si>
    <t xml:space="preserve">Site / Hotspot Monitored</t>
  </si>
  <si>
    <t xml:space="preserve">Monitoring Type</t>
  </si>
  <si>
    <t xml:space="preserve">Date</t>
  </si>
  <si>
    <t xml:space="preserve">Result</t>
  </si>
  <si>
    <t xml:space="preserve">Health Camp Conducted (Y/N)</t>
  </si>
  <si>
    <t xml:space="preserve">Beneficiaries Screened</t>
  </si>
  <si>
    <t xml:space="preserve">Soil + Water + Air</t>
  </si>
  <si>
    <t xml:space="preserve">Exceeds Limit</t>
  </si>
  <si>
    <t xml:space="preserve">Camp with district health dept</t>
  </si>
  <si>
    <t xml:space="preserve">Air</t>
  </si>
  <si>
    <t xml:space="preserve">Within Limit</t>
  </si>
  <si>
    <t xml:space="preserve">Camp planned next quarter</t>
  </si>
  <si>
    <t xml:space="preserve">Soil + Water</t>
  </si>
  <si>
    <t xml:space="preserve">Pending Analysis</t>
  </si>
  <si>
    <t xml:space="preserve">Samples sent to lab</t>
  </si>
  <si>
    <t xml:space="preserve">Soil</t>
  </si>
  <si>
    <t xml:space="preserve">Follow-up visit</t>
  </si>
  <si>
    <t xml:space="preserve">Distinct Sites Monitored</t>
  </si>
  <si>
    <t xml:space="preserve">Health Camps Conducted</t>
  </si>
  <si>
    <t xml:space="preserve">Total Beneficiaries Screened</t>
  </si>
  <si>
    <t xml:space="preserve">Monitoring results and beneficiary counts are ILLUSTRATIVE. Replace with MPCB monitoring reports / health-department camp records.</t>
  </si>
  <si>
    <t xml:space="preserve">Awareness Programs</t>
  </si>
  <si>
    <t xml:space="preserve">One row per awareness campaign, take-back scheme promotion, or collection drive conducted.</t>
  </si>
  <si>
    <t xml:space="preserve">Program Name</t>
  </si>
  <si>
    <t xml:space="preserve">Type</t>
  </si>
  <si>
    <t xml:space="preserve">Target Audience</t>
  </si>
  <si>
    <t xml:space="preserve">Participants Reached</t>
  </si>
  <si>
    <t xml:space="preserve">Aizawl E-Waste Awareness Campaign</t>
  </si>
  <si>
    <t xml:space="preserve">Awareness Campaign</t>
  </si>
  <si>
    <t xml:space="preserve">General Public</t>
  </si>
  <si>
    <t xml:space="preserve">School E-Waste Collection Drive</t>
  </si>
  <si>
    <t xml:space="preserve">School Collection Drive</t>
  </si>
  <si>
    <t xml:space="preserve">Students</t>
  </si>
  <si>
    <t xml:space="preserve">Colony E-Waste Drive (Local Council)</t>
  </si>
  <si>
    <t xml:space="preserve">RWA/Community Drive</t>
  </si>
  <si>
    <t xml:space="preserve">Residents</t>
  </si>
  <si>
    <t xml:space="preserve">Producer &amp; Dealer Compliance Meet</t>
  </si>
  <si>
    <t xml:space="preserve">Industry Outreach</t>
  </si>
  <si>
    <t xml:space="preserve">Producers / Dealers</t>
  </si>
  <si>
    <t xml:space="preserve">Radio &amp; Social Media E-Waste Series</t>
  </si>
  <si>
    <t xml:space="preserve">Media Campaign</t>
  </si>
  <si>
    <t xml:space="preserve">Champhai Awareness Workshop</t>
  </si>
  <si>
    <t xml:space="preserve">Shopkeepers / Public</t>
  </si>
  <si>
    <t xml:space="preserve">Kolasib School Collection Drive</t>
  </si>
  <si>
    <t xml:space="preserve">Total Programs Conducted</t>
  </si>
  <si>
    <t xml:space="preserve">Collection Drives (School+RWA)</t>
  </si>
  <si>
    <t xml:space="preserve">Total Participants Reached</t>
  </si>
  <si>
    <t xml:space="preserve">Programme names, dates and participant numbers are ILLUSTRATIVE. Replace with actual MPCB / district administration records.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</si>
</sst>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General"/>
    <numFmt numFmtId="167" formatCode="0.0%"/>
    <numFmt numFmtId="168" formatCode="#,##0"/>
    <numFmt numFmtId="169" formatCode="dd\-mm\-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28"/>
      <color rgb="FF1F4E78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2E75B6"/>
        <bgColor rgb="FF0066CC"/>
      </patternFill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5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25"/>
  <sheetViews>
    <sheetView showFormulas="false" showGridLines="false" showRowColHeaders="true" showZeros="true" rightToLeft="false" tabSelected="true" showOutlineSymbols="true" defaultGridColor="true" view="normal" topLeftCell="C12" colorId="64" zoomScale="102" zoomScaleNormal="102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0"/>
    <col collapsed="false" customWidth="true" hidden="false" outlineLevel="0" max="3" min="3" style="0" width="35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40"/>
    <col collapsed="false" customWidth="true" hidden="false" outlineLevel="0" max="7" min="7" style="0" width="28"/>
    <col collapsed="false" customWidth="true" hidden="false" outlineLevel="0" max="8" min="8" style="0" width="19"/>
    <col collapsed="false" customWidth="true" hidden="false" outlineLevel="0" max="9" min="9" style="0" width="10"/>
  </cols>
  <sheetData>
    <row r="2" customFormat="false" ht="25.5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4" customFormat="false" ht="14.25" hidden="false" customHeight="false" outlineLevel="0" collapsed="false">
      <c r="B4" s="3" t="s">
        <v>2</v>
      </c>
    </row>
    <row r="5" customFormat="false" ht="15" hidden="false" customHeight="true" outlineLevel="0" collapsed="false">
      <c r="B5" s="4" t="s">
        <v>3</v>
      </c>
      <c r="C5" s="4"/>
      <c r="D5" s="5" t="n">
        <f aca="false">ROUND(H17,1)</f>
        <v>67.2</v>
      </c>
      <c r="E5" s="5"/>
      <c r="F5" s="6" t="str">
        <f aca="false">_xlfn.IFS(H17&gt;=85,"EXCELLENT",H17&gt;=65,"GOOD",H17&gt;=45,"NEEDS IMPROVEMENT",TRUE(),"CRITICAL")</f>
        <v>GOOD</v>
      </c>
      <c r="G5" s="6"/>
      <c r="H5" s="6"/>
      <c r="I5" s="6"/>
    </row>
    <row r="6" customFormat="false" ht="15" hidden="false" customHeight="true" outlineLevel="0" collapsed="false">
      <c r="B6" s="4"/>
      <c r="C6" s="4"/>
      <c r="D6" s="5"/>
      <c r="E6" s="5"/>
      <c r="F6" s="6"/>
      <c r="G6" s="6"/>
      <c r="H6" s="6"/>
      <c r="I6" s="6"/>
    </row>
    <row r="7" customFormat="false" ht="15" hidden="false" customHeight="true" outlineLevel="0" collapsed="false">
      <c r="B7" s="4"/>
      <c r="C7" s="4"/>
      <c r="D7" s="5"/>
      <c r="E7" s="5"/>
      <c r="F7" s="6"/>
      <c r="G7" s="6"/>
      <c r="H7" s="6"/>
      <c r="I7" s="6"/>
    </row>
    <row r="9" customFormat="false" ht="30" hidden="false" customHeight="true" outlineLevel="0" collapsed="false">
      <c r="B9" s="7" t="s">
        <v>4</v>
      </c>
      <c r="C9" s="7" t="s">
        <v>5</v>
      </c>
      <c r="D9" s="7" t="s">
        <v>6</v>
      </c>
      <c r="E9" s="7" t="s">
        <v>7</v>
      </c>
      <c r="F9" s="7" t="s">
        <v>8</v>
      </c>
      <c r="G9" s="7" t="s">
        <v>9</v>
      </c>
      <c r="H9" s="7" t="s">
        <v>10</v>
      </c>
    </row>
    <row r="10" customFormat="false" ht="30" hidden="false" customHeight="true" outlineLevel="0" collapsed="false">
      <c r="B10" s="8" t="n">
        <v>1</v>
      </c>
      <c r="C10" s="9" t="s">
        <v>11</v>
      </c>
      <c r="D10" s="8" t="n">
        <v>15</v>
      </c>
      <c r="E10" s="10" t="n">
        <v>11</v>
      </c>
      <c r="F10" s="11" t="n">
        <f aca="false">COUNT(1_Generation_Inventory!J6:J25)</f>
        <v>11</v>
      </c>
      <c r="G10" s="12" t="n">
        <f aca="false">IFERROR(MIN(F10/E10,1),0)</f>
        <v>1</v>
      </c>
      <c r="H10" s="13" t="n">
        <f aca="false">ROUND(G10*D10,1)</f>
        <v>15</v>
      </c>
    </row>
    <row r="11" customFormat="false" ht="30" hidden="false" customHeight="true" outlineLevel="0" collapsed="false">
      <c r="B11" s="8" t="n">
        <v>2</v>
      </c>
      <c r="C11" s="9" t="s">
        <v>12</v>
      </c>
      <c r="D11" s="8" t="n">
        <v>20</v>
      </c>
      <c r="E11" s="14" t="n">
        <v>0.6</v>
      </c>
      <c r="F11" s="12" t="n">
        <f aca="false">IFERROR(2_Collection_Log!D27/2_Collection_Log!C27,0)</f>
        <v>0.100508926364213</v>
      </c>
      <c r="G11" s="12" t="n">
        <f aca="false">IFERROR(MIN(F11/E11,1),0)</f>
        <v>0.167514877273688</v>
      </c>
      <c r="H11" s="13" t="n">
        <f aca="false">ROUND(G11*D11,1)</f>
        <v>3.4</v>
      </c>
    </row>
    <row r="12" customFormat="false" ht="30" hidden="false" customHeight="true" outlineLevel="0" collapsed="false">
      <c r="B12" s="8" t="n">
        <v>3</v>
      </c>
      <c r="C12" s="9" t="s">
        <v>13</v>
      </c>
      <c r="D12" s="8" t="n">
        <v>20</v>
      </c>
      <c r="E12" s="14" t="n">
        <v>0.8</v>
      </c>
      <c r="F12" s="12" t="n">
        <f aca="false">IFERROR((3_Recycling_Infrastructure!E28*1000)/2_Collection_Log!C27,0)</f>
        <v>0.644890852223261</v>
      </c>
      <c r="G12" s="12" t="n">
        <f aca="false">IFERROR(MIN(F12/E12,1),0)</f>
        <v>0.806113565279077</v>
      </c>
      <c r="H12" s="13" t="n">
        <f aca="false">ROUND(G12*D12,1)</f>
        <v>16.1</v>
      </c>
    </row>
    <row r="13" customFormat="false" ht="30" hidden="false" customHeight="true" outlineLevel="0" collapsed="false">
      <c r="B13" s="8" t="n">
        <v>4</v>
      </c>
      <c r="C13" s="9" t="s">
        <v>14</v>
      </c>
      <c r="D13" s="8" t="n">
        <v>15</v>
      </c>
      <c r="E13" s="14" t="n">
        <v>1</v>
      </c>
      <c r="F13" s="12" t="n">
        <f aca="false">IFERROR(4_Compliance_Tracker!C28/4_Compliance_Tracker!C29,0)</f>
        <v>0.625</v>
      </c>
      <c r="G13" s="12" t="n">
        <f aca="false">IFERROR(MIN(F13/E13,1),0)</f>
        <v>0.625</v>
      </c>
      <c r="H13" s="13" t="n">
        <f aca="false">ROUND(G13*D13,1)</f>
        <v>9.4</v>
      </c>
    </row>
    <row r="14" customFormat="false" ht="30" hidden="false" customHeight="true" outlineLevel="0" collapsed="false">
      <c r="B14" s="8" t="n">
        <v>5</v>
      </c>
      <c r="C14" s="9" t="s">
        <v>15</v>
      </c>
      <c r="D14" s="8" t="n">
        <v>10</v>
      </c>
      <c r="E14" s="14" t="n">
        <v>0.5</v>
      </c>
      <c r="F14" s="12" t="n">
        <f aca="false">IFERROR(5_Informal_Sector_Hotspots!C29/5_Informal_Sector_Hotspots!C28,0)</f>
        <v>0.166666666666667</v>
      </c>
      <c r="G14" s="12" t="n">
        <f aca="false">IFERROR(MIN(F14/E14,1),0)</f>
        <v>0.333333333333333</v>
      </c>
      <c r="H14" s="13" t="n">
        <f aca="false">ROUND(G14*D14,1)</f>
        <v>3.3</v>
      </c>
    </row>
    <row r="15" customFormat="false" ht="30" hidden="false" customHeight="true" outlineLevel="0" collapsed="false">
      <c r="B15" s="8" t="n">
        <v>6</v>
      </c>
      <c r="C15" s="9" t="s">
        <v>16</v>
      </c>
      <c r="D15" s="8" t="n">
        <v>10</v>
      </c>
      <c r="E15" s="14" t="n">
        <v>0.5</v>
      </c>
      <c r="F15" s="12" t="n">
        <f aca="false">IFERROR(6_Env_Health_Monitoring!C28/5_Informal_Sector_Hotspots!C28,0)</f>
        <v>0.666666666666667</v>
      </c>
      <c r="G15" s="12" t="n">
        <f aca="false">IFERROR(MIN(F15/E15,1),0)</f>
        <v>1</v>
      </c>
      <c r="H15" s="13" t="n">
        <f aca="false">ROUND(G15*D15,1)</f>
        <v>10</v>
      </c>
    </row>
    <row r="16" customFormat="false" ht="30" hidden="false" customHeight="true" outlineLevel="0" collapsed="false">
      <c r="B16" s="8" t="n">
        <v>7</v>
      </c>
      <c r="C16" s="9" t="s">
        <v>17</v>
      </c>
      <c r="D16" s="8" t="n">
        <v>10</v>
      </c>
      <c r="E16" s="10" t="n">
        <v>6</v>
      </c>
      <c r="F16" s="11" t="n">
        <f aca="false">7_Awareness_Programs!C28</f>
        <v>7</v>
      </c>
      <c r="G16" s="12" t="n">
        <f aca="false">IFERROR(MIN(F16/E16,1),0)</f>
        <v>1</v>
      </c>
      <c r="H16" s="13" t="n">
        <f aca="false">ROUND(G16*D16,1)</f>
        <v>10</v>
      </c>
    </row>
    <row r="17" customFormat="false" ht="15" hidden="false" customHeight="true" outlineLevel="0" collapsed="false">
      <c r="B17" s="15"/>
      <c r="C17" s="16" t="s">
        <v>18</v>
      </c>
      <c r="D17" s="16" t="n">
        <f aca="false">SUM(D10:D16)</f>
        <v>100</v>
      </c>
      <c r="E17" s="15"/>
      <c r="F17" s="15"/>
      <c r="G17" s="15"/>
      <c r="H17" s="16" t="n">
        <f aca="false">SUM(H10:H16)</f>
        <v>67.2</v>
      </c>
    </row>
    <row r="19" customFormat="false" ht="15" hidden="false" customHeight="true" outlineLevel="0" collapsed="false">
      <c r="B19" s="17" t="s">
        <v>19</v>
      </c>
    </row>
    <row r="20" customFormat="false" ht="15" hidden="false" customHeight="true" outlineLevel="0" collapsed="false">
      <c r="B20" s="18" t="s">
        <v>20</v>
      </c>
      <c r="C20" s="18" t="s">
        <v>21</v>
      </c>
    </row>
    <row r="21" customFormat="false" ht="15" hidden="false" customHeight="true" outlineLevel="0" collapsed="false">
      <c r="B21" s="18" t="s">
        <v>22</v>
      </c>
      <c r="C21" s="18" t="s">
        <v>23</v>
      </c>
    </row>
    <row r="22" customFormat="false" ht="15" hidden="false" customHeight="true" outlineLevel="0" collapsed="false">
      <c r="B22" s="18" t="s">
        <v>24</v>
      </c>
      <c r="C22" s="18" t="s">
        <v>25</v>
      </c>
    </row>
    <row r="23" customFormat="false" ht="15" hidden="false" customHeight="true" outlineLevel="0" collapsed="false">
      <c r="B23" s="18" t="s">
        <v>26</v>
      </c>
      <c r="C23" s="18" t="s">
        <v>27</v>
      </c>
    </row>
    <row r="25" customFormat="false" ht="14.25" hidden="false" customHeight="false" outlineLevel="0" collapsed="false">
      <c r="B25" s="19" t="s">
        <v>28</v>
      </c>
    </row>
  </sheetData>
  <mergeCells count="5">
    <mergeCell ref="A2:H2"/>
    <mergeCell ref="B3:I3"/>
    <mergeCell ref="B5:C7"/>
    <mergeCell ref="D5:E7"/>
    <mergeCell ref="F5:I7"/>
  </mergeCells>
  <conditionalFormatting sqref="D5">
    <cfRule type="colorScale" priority="2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&amp;CHritvi Narvekar | 24102C0073 | CMPN C (TE)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40"/>
    <col collapsed="false" customWidth="true" hidden="false" outlineLevel="0" max="3" min="3" style="0" width="35"/>
    <col collapsed="false" customWidth="true" hidden="false" outlineLevel="0" max="4" min="4" style="0" width="12"/>
    <col collapsed="false" customWidth="true" hidden="false" outlineLevel="0" max="8" min="5" style="0" width="40"/>
  </cols>
  <sheetData>
    <row r="2" customFormat="false" ht="25.5" hidden="false" customHeight="true" outlineLevel="0" collapsed="false">
      <c r="A2" s="1" t="s">
        <v>29</v>
      </c>
      <c r="B2" s="1"/>
      <c r="C2" s="1"/>
      <c r="D2" s="1"/>
      <c r="E2" s="1"/>
      <c r="F2" s="1"/>
      <c r="G2" s="1"/>
    </row>
    <row r="4" customFormat="false" ht="30" hidden="false" customHeight="true" outlineLevel="0" collapsed="false">
      <c r="B4" s="2" t="s">
        <v>30</v>
      </c>
      <c r="C4" s="2"/>
      <c r="D4" s="2"/>
      <c r="E4" s="2"/>
      <c r="F4" s="2"/>
      <c r="G4" s="2"/>
      <c r="H4" s="2"/>
    </row>
    <row r="5" customFormat="false" ht="14.25" hidden="false" customHeight="false" outlineLevel="0" collapsed="false">
      <c r="B5" s="3" t="s">
        <v>2</v>
      </c>
    </row>
    <row r="6" customFormat="false" ht="23.25" hidden="false" customHeight="true" outlineLevel="0" collapsed="false">
      <c r="B6" s="7" t="s">
        <v>4</v>
      </c>
      <c r="C6" s="7" t="s">
        <v>5</v>
      </c>
      <c r="D6" s="7" t="s">
        <v>6</v>
      </c>
      <c r="E6" s="7" t="s">
        <v>31</v>
      </c>
    </row>
    <row r="7" customFormat="false" ht="30" hidden="false" customHeight="true" outlineLevel="0" collapsed="false">
      <c r="B7" s="8" t="n">
        <v>1</v>
      </c>
      <c r="C7" s="9" t="s">
        <v>11</v>
      </c>
      <c r="D7" s="8" t="n">
        <v>15</v>
      </c>
      <c r="E7" s="20" t="s">
        <v>32</v>
      </c>
      <c r="F7" s="20"/>
      <c r="G7" s="20"/>
      <c r="H7" s="20"/>
    </row>
    <row r="8" customFormat="false" ht="30" hidden="false" customHeight="true" outlineLevel="0" collapsed="false">
      <c r="B8" s="8" t="n">
        <v>2</v>
      </c>
      <c r="C8" s="9" t="s">
        <v>12</v>
      </c>
      <c r="D8" s="8" t="n">
        <v>20</v>
      </c>
      <c r="E8" s="20" t="s">
        <v>33</v>
      </c>
      <c r="F8" s="20"/>
      <c r="G8" s="20"/>
      <c r="H8" s="20"/>
    </row>
    <row r="9" customFormat="false" ht="30" hidden="false" customHeight="true" outlineLevel="0" collapsed="false">
      <c r="B9" s="8" t="n">
        <v>3</v>
      </c>
      <c r="C9" s="9" t="s">
        <v>13</v>
      </c>
      <c r="D9" s="8" t="n">
        <v>20</v>
      </c>
      <c r="E9" s="20" t="s">
        <v>34</v>
      </c>
      <c r="F9" s="20"/>
      <c r="G9" s="20"/>
      <c r="H9" s="20"/>
    </row>
    <row r="10" customFormat="false" ht="30" hidden="false" customHeight="true" outlineLevel="0" collapsed="false">
      <c r="B10" s="8" t="n">
        <v>4</v>
      </c>
      <c r="C10" s="9" t="s">
        <v>14</v>
      </c>
      <c r="D10" s="8" t="n">
        <v>15</v>
      </c>
      <c r="E10" s="20" t="s">
        <v>35</v>
      </c>
      <c r="F10" s="20"/>
      <c r="G10" s="20"/>
      <c r="H10" s="20"/>
    </row>
    <row r="11" customFormat="false" ht="30" hidden="false" customHeight="true" outlineLevel="0" collapsed="false">
      <c r="B11" s="8" t="n">
        <v>5</v>
      </c>
      <c r="C11" s="9" t="s">
        <v>15</v>
      </c>
      <c r="D11" s="8" t="n">
        <v>10</v>
      </c>
      <c r="E11" s="20" t="s">
        <v>36</v>
      </c>
      <c r="F11" s="20"/>
      <c r="G11" s="20"/>
      <c r="H11" s="20"/>
    </row>
    <row r="12" customFormat="false" ht="30" hidden="false" customHeight="true" outlineLevel="0" collapsed="false">
      <c r="B12" s="8" t="n">
        <v>6</v>
      </c>
      <c r="C12" s="9" t="s">
        <v>16</v>
      </c>
      <c r="D12" s="8" t="n">
        <v>10</v>
      </c>
      <c r="E12" s="20" t="s">
        <v>37</v>
      </c>
      <c r="F12" s="20"/>
      <c r="G12" s="20"/>
      <c r="H12" s="20"/>
    </row>
    <row r="13" customFormat="false" ht="30" hidden="false" customHeight="true" outlineLevel="0" collapsed="false">
      <c r="B13" s="8" t="n">
        <v>7</v>
      </c>
      <c r="C13" s="9" t="s">
        <v>17</v>
      </c>
      <c r="D13" s="8" t="n">
        <v>10</v>
      </c>
      <c r="E13" s="20" t="s">
        <v>38</v>
      </c>
      <c r="F13" s="20"/>
      <c r="G13" s="20"/>
      <c r="H13" s="20"/>
    </row>
    <row r="14" customFormat="false" ht="15" hidden="false" customHeight="true" outlineLevel="0" collapsed="false">
      <c r="B14" s="15"/>
      <c r="C14" s="16" t="s">
        <v>39</v>
      </c>
      <c r="D14" s="21" t="n">
        <v>100</v>
      </c>
      <c r="E14" s="15"/>
      <c r="F14" s="15"/>
      <c r="G14" s="15"/>
      <c r="H14" s="15"/>
    </row>
    <row r="16" customFormat="false" ht="15" hidden="false" customHeight="true" outlineLevel="0" collapsed="false">
      <c r="B16" s="17" t="s">
        <v>40</v>
      </c>
    </row>
    <row r="17" customFormat="false" ht="25.5" hidden="false" customHeight="true" outlineLevel="0" collapsed="false">
      <c r="B17" s="22" t="s">
        <v>41</v>
      </c>
      <c r="C17" s="22"/>
      <c r="D17" s="22"/>
      <c r="E17" s="22"/>
      <c r="F17" s="22"/>
      <c r="G17" s="22"/>
      <c r="H17" s="22"/>
    </row>
    <row r="18" customFormat="false" ht="25.5" hidden="false" customHeight="true" outlineLevel="0" collapsed="false">
      <c r="B18" s="22" t="s">
        <v>42</v>
      </c>
      <c r="C18" s="22"/>
      <c r="D18" s="22"/>
      <c r="E18" s="22"/>
      <c r="F18" s="22"/>
      <c r="G18" s="22"/>
      <c r="H18" s="22"/>
    </row>
    <row r="19" customFormat="false" ht="25.5" hidden="false" customHeight="true" outlineLevel="0" collapsed="false">
      <c r="B19" s="22" t="s">
        <v>43</v>
      </c>
      <c r="C19" s="22"/>
      <c r="D19" s="22"/>
      <c r="E19" s="22"/>
      <c r="F19" s="22"/>
      <c r="G19" s="22"/>
      <c r="H19" s="22"/>
    </row>
    <row r="20" customFormat="false" ht="25.5" hidden="false" customHeight="true" outlineLevel="0" collapsed="false">
      <c r="B20" s="22" t="s">
        <v>44</v>
      </c>
      <c r="C20" s="22"/>
      <c r="D20" s="22"/>
      <c r="E20" s="22"/>
      <c r="F20" s="22"/>
      <c r="G20" s="22"/>
      <c r="H20" s="22"/>
    </row>
    <row r="21" customFormat="false" ht="25.5" hidden="false" customHeight="true" outlineLevel="0" collapsed="false">
      <c r="B21" s="22" t="s">
        <v>45</v>
      </c>
      <c r="C21" s="22"/>
      <c r="D21" s="22"/>
      <c r="E21" s="22"/>
      <c r="F21" s="22"/>
      <c r="G21" s="22"/>
      <c r="H21" s="22"/>
    </row>
    <row r="23" customFormat="false" ht="18" hidden="false" customHeight="true" outlineLevel="0" collapsed="false">
      <c r="B23" s="23" t="s">
        <v>46</v>
      </c>
      <c r="C23" s="23"/>
      <c r="D23" s="23"/>
      <c r="E23" s="23"/>
      <c r="F23" s="23"/>
      <c r="G23" s="23"/>
      <c r="H23" s="23"/>
    </row>
    <row r="24" customFormat="false" ht="30" hidden="false" customHeight="true" outlineLevel="0" collapsed="false">
      <c r="B24" s="22" t="s">
        <v>47</v>
      </c>
      <c r="C24" s="22"/>
      <c r="D24" s="22"/>
      <c r="E24" s="22"/>
      <c r="F24" s="22"/>
      <c r="G24" s="22"/>
      <c r="H24" s="22"/>
    </row>
    <row r="25" customFormat="false" ht="30" hidden="false" customHeight="true" outlineLevel="0" collapsed="false">
      <c r="B25" s="22" t="s">
        <v>48</v>
      </c>
      <c r="C25" s="22"/>
      <c r="D25" s="22"/>
      <c r="E25" s="22"/>
      <c r="F25" s="22"/>
      <c r="G25" s="22"/>
      <c r="H25" s="22"/>
    </row>
    <row r="26" customFormat="false" ht="30" hidden="false" customHeight="true" outlineLevel="0" collapsed="false">
      <c r="B26" s="22" t="s">
        <v>49</v>
      </c>
      <c r="C26" s="22"/>
      <c r="D26" s="22"/>
      <c r="E26" s="22"/>
      <c r="F26" s="22"/>
      <c r="G26" s="22"/>
      <c r="H26" s="22"/>
    </row>
    <row r="27" customFormat="false" ht="30" hidden="false" customHeight="true" outlineLevel="0" collapsed="false">
      <c r="B27" s="22" t="s">
        <v>50</v>
      </c>
      <c r="C27" s="22"/>
      <c r="D27" s="22"/>
      <c r="E27" s="22"/>
      <c r="F27" s="22"/>
      <c r="G27" s="22"/>
      <c r="H27" s="22"/>
    </row>
  </sheetData>
  <mergeCells count="19">
    <mergeCell ref="A2:G2"/>
    <mergeCell ref="B4:H4"/>
    <mergeCell ref="E7:H7"/>
    <mergeCell ref="E8:H8"/>
    <mergeCell ref="E9:H9"/>
    <mergeCell ref="E10:H10"/>
    <mergeCell ref="E11:H11"/>
    <mergeCell ref="E12:H12"/>
    <mergeCell ref="E13:H13"/>
    <mergeCell ref="B17:H17"/>
    <mergeCell ref="B18:H18"/>
    <mergeCell ref="B19:H19"/>
    <mergeCell ref="B20:H20"/>
    <mergeCell ref="B21:H21"/>
    <mergeCell ref="B23:H23"/>
    <mergeCell ref="B24:H24"/>
    <mergeCell ref="B25:H25"/>
    <mergeCell ref="B26:H26"/>
    <mergeCell ref="B27:H27"/>
  </mergeCells>
  <printOptions headings="false" gridLines="false" gridLinesSet="true" horizontalCentered="false" verticalCentered="false"/>
  <pageMargins left="0.75" right="0.75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&amp;CHritvi Narvekar | 24102C0073 | CMPN C (TE)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K31"/>
  <sheetViews>
    <sheetView showFormulas="false" showGridLines="false" showRowColHeaders="true" showZeros="true" rightToLeft="false" tabSelected="false" showOutlineSymbols="true" defaultGridColor="true" view="normal" topLeftCell="A1" colorId="64" zoomScale="41" zoomScaleNormal="41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E36" activeCellId="0" sqref="E3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9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25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7"/>
    <col collapsed="false" customWidth="true" hidden="false" outlineLevel="0" max="11" min="11" style="0" width="19"/>
  </cols>
  <sheetData>
    <row r="2" customFormat="false" ht="25.5" hidden="false" customHeight="true" outlineLevel="0" collapsed="false">
      <c r="A2" s="1" t="s">
        <v>51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true" outlineLevel="0" collapsed="false">
      <c r="B3" s="2" t="s">
        <v>52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31.5" hidden="false" customHeight="true" outlineLevel="0" collapsed="false">
      <c r="B5" s="7" t="s">
        <v>53</v>
      </c>
      <c r="C5" s="7" t="s">
        <v>54</v>
      </c>
      <c r="D5" s="7" t="s">
        <v>55</v>
      </c>
      <c r="E5" s="7" t="s">
        <v>56</v>
      </c>
      <c r="F5" s="7" t="s">
        <v>57</v>
      </c>
      <c r="G5" s="7" t="s">
        <v>58</v>
      </c>
      <c r="H5" s="7" t="s">
        <v>59</v>
      </c>
      <c r="I5" s="7" t="s">
        <v>60</v>
      </c>
      <c r="J5" s="7" t="s">
        <v>61</v>
      </c>
      <c r="K5" s="7" t="s">
        <v>62</v>
      </c>
    </row>
    <row r="6" customFormat="false" ht="15" hidden="false" customHeight="true" outlineLevel="0" collapsed="false">
      <c r="B6" s="24" t="s">
        <v>63</v>
      </c>
      <c r="C6" s="25" t="n">
        <v>387006</v>
      </c>
      <c r="D6" s="25" t="n">
        <v>69661</v>
      </c>
      <c r="E6" s="25" t="n">
        <v>46441</v>
      </c>
      <c r="F6" s="25" t="n">
        <v>29025</v>
      </c>
      <c r="G6" s="25" t="n">
        <v>11610</v>
      </c>
      <c r="H6" s="25" t="n">
        <v>17415</v>
      </c>
      <c r="I6" s="25" t="n">
        <v>5805</v>
      </c>
      <c r="J6" s="26" t="n">
        <f aca="false">IF(SUM(D6:I6)=0,"",SUM(D6:I6))</f>
        <v>179957</v>
      </c>
      <c r="K6" s="27" t="n">
        <v>46203</v>
      </c>
    </row>
    <row r="7" customFormat="false" ht="15" hidden="false" customHeight="true" outlineLevel="0" collapsed="false">
      <c r="B7" s="24" t="s">
        <v>64</v>
      </c>
      <c r="C7" s="25" t="n">
        <v>135315</v>
      </c>
      <c r="D7" s="25" t="n">
        <v>16238</v>
      </c>
      <c r="E7" s="25" t="n">
        <v>10825</v>
      </c>
      <c r="F7" s="25" t="n">
        <v>6766</v>
      </c>
      <c r="G7" s="25" t="n">
        <v>2706</v>
      </c>
      <c r="H7" s="25" t="n">
        <v>4059</v>
      </c>
      <c r="I7" s="25" t="n">
        <v>1353</v>
      </c>
      <c r="J7" s="26" t="n">
        <f aca="false">IF(SUM(D7:I7)=0,"",SUM(D7:I7))</f>
        <v>41947</v>
      </c>
      <c r="K7" s="27" t="n">
        <v>46203</v>
      </c>
    </row>
    <row r="8" customFormat="false" ht="15" hidden="false" customHeight="true" outlineLevel="0" collapsed="false">
      <c r="B8" s="24" t="s">
        <v>65</v>
      </c>
      <c r="C8" s="25" t="n">
        <v>117894</v>
      </c>
      <c r="D8" s="25" t="n">
        <v>10610</v>
      </c>
      <c r="E8" s="25" t="n">
        <v>7074</v>
      </c>
      <c r="F8" s="25" t="n">
        <v>4421</v>
      </c>
      <c r="G8" s="25" t="n">
        <v>1768</v>
      </c>
      <c r="H8" s="25" t="n">
        <v>2653</v>
      </c>
      <c r="I8" s="25" t="n">
        <v>884</v>
      </c>
      <c r="J8" s="26" t="n">
        <f aca="false">IF(SUM(D8:I8)=0,"",SUM(D8:I8))</f>
        <v>27410</v>
      </c>
      <c r="K8" s="27" t="n">
        <v>46203</v>
      </c>
    </row>
    <row r="9" customFormat="false" ht="15" hidden="false" customHeight="true" outlineLevel="0" collapsed="false">
      <c r="B9" s="24" t="s">
        <v>66</v>
      </c>
      <c r="C9" s="25" t="n">
        <v>86364</v>
      </c>
      <c r="D9" s="25" t="n">
        <v>7773</v>
      </c>
      <c r="E9" s="25" t="n">
        <v>5182</v>
      </c>
      <c r="F9" s="25" t="n">
        <v>3239</v>
      </c>
      <c r="G9" s="25" t="n">
        <v>1295</v>
      </c>
      <c r="H9" s="25" t="n">
        <v>1943</v>
      </c>
      <c r="I9" s="25" t="n">
        <v>648</v>
      </c>
      <c r="J9" s="26" t="n">
        <f aca="false">IF(SUM(D9:I9)=0,"",SUM(D9:I9))</f>
        <v>20080</v>
      </c>
      <c r="K9" s="27" t="n">
        <v>46203</v>
      </c>
    </row>
    <row r="10" customFormat="false" ht="15" hidden="false" customHeight="true" outlineLevel="0" collapsed="false">
      <c r="B10" s="24" t="s">
        <v>67</v>
      </c>
      <c r="C10" s="25" t="n">
        <v>83955</v>
      </c>
      <c r="D10" s="25" t="n">
        <v>10075</v>
      </c>
      <c r="E10" s="25" t="n">
        <v>6716</v>
      </c>
      <c r="F10" s="25" t="n">
        <v>4198</v>
      </c>
      <c r="G10" s="25" t="n">
        <v>1679</v>
      </c>
      <c r="H10" s="25" t="n">
        <v>2519</v>
      </c>
      <c r="I10" s="25" t="n">
        <v>840</v>
      </c>
      <c r="J10" s="26" t="n">
        <f aca="false">IF(SUM(D10:I10)=0,"",SUM(D10:I10))</f>
        <v>26027</v>
      </c>
      <c r="K10" s="27" t="n">
        <v>46203</v>
      </c>
    </row>
    <row r="11" customFormat="false" ht="15" hidden="false" customHeight="true" outlineLevel="0" collapsed="false">
      <c r="B11" s="24" t="s">
        <v>68</v>
      </c>
      <c r="C11" s="25" t="n">
        <v>65177</v>
      </c>
      <c r="D11" s="25" t="n">
        <v>7821</v>
      </c>
      <c r="E11" s="25" t="n">
        <v>5214</v>
      </c>
      <c r="F11" s="25" t="n">
        <v>3259</v>
      </c>
      <c r="G11" s="25" t="n">
        <v>1304</v>
      </c>
      <c r="H11" s="25" t="n">
        <v>1955</v>
      </c>
      <c r="I11" s="25" t="n">
        <v>652</v>
      </c>
      <c r="J11" s="26" t="n">
        <f aca="false">IF(SUM(D11:I11)=0,"",SUM(D11:I11))</f>
        <v>20205</v>
      </c>
      <c r="K11" s="27" t="n">
        <v>46203</v>
      </c>
    </row>
    <row r="12" customFormat="false" ht="15" hidden="false" customHeight="true" outlineLevel="0" collapsed="false">
      <c r="B12" s="24" t="s">
        <v>69</v>
      </c>
      <c r="C12" s="25" t="n">
        <v>64937</v>
      </c>
      <c r="D12" s="25" t="n">
        <v>7792</v>
      </c>
      <c r="E12" s="25" t="n">
        <v>5195</v>
      </c>
      <c r="F12" s="25" t="n">
        <v>3247</v>
      </c>
      <c r="G12" s="25" t="n">
        <v>1299</v>
      </c>
      <c r="H12" s="25" t="n">
        <v>1948</v>
      </c>
      <c r="I12" s="25" t="n">
        <v>649</v>
      </c>
      <c r="J12" s="26" t="n">
        <f aca="false">IF(SUM(D12:I12)=0,"",SUM(D12:I12))</f>
        <v>20130</v>
      </c>
      <c r="K12" s="27" t="n">
        <v>46203</v>
      </c>
    </row>
    <row r="13" customFormat="false" ht="15" hidden="false" customHeight="true" outlineLevel="0" collapsed="false">
      <c r="B13" s="24" t="s">
        <v>70</v>
      </c>
      <c r="C13" s="25" t="n">
        <v>56574</v>
      </c>
      <c r="D13" s="25" t="n">
        <v>5092</v>
      </c>
      <c r="E13" s="25" t="n">
        <v>3394</v>
      </c>
      <c r="F13" s="25" t="n">
        <v>2122</v>
      </c>
      <c r="G13" s="25" t="n">
        <v>849</v>
      </c>
      <c r="H13" s="25" t="n">
        <v>1273</v>
      </c>
      <c r="I13" s="25" t="n">
        <v>424</v>
      </c>
      <c r="J13" s="26" t="n">
        <f aca="false">IF(SUM(D13:I13)=0,"",SUM(D13:I13))</f>
        <v>13154</v>
      </c>
      <c r="K13" s="27" t="n">
        <v>46203</v>
      </c>
    </row>
    <row r="14" customFormat="false" ht="15" hidden="false" customHeight="true" outlineLevel="0" collapsed="false">
      <c r="B14" s="24" t="s">
        <v>71</v>
      </c>
      <c r="C14" s="25" t="n">
        <v>41838</v>
      </c>
      <c r="D14" s="25" t="n">
        <v>3765</v>
      </c>
      <c r="E14" s="25" t="n">
        <v>2510</v>
      </c>
      <c r="F14" s="25" t="n">
        <v>1569</v>
      </c>
      <c r="G14" s="25" t="n">
        <v>628</v>
      </c>
      <c r="H14" s="25" t="n">
        <v>941</v>
      </c>
      <c r="I14" s="25" t="n">
        <v>314</v>
      </c>
      <c r="J14" s="26" t="n">
        <f aca="false">IF(SUM(D14:I14)=0,"",SUM(D14:I14))</f>
        <v>9727</v>
      </c>
      <c r="K14" s="27" t="n">
        <v>46203</v>
      </c>
    </row>
    <row r="15" customFormat="false" ht="15" hidden="false" customHeight="true" outlineLevel="0" collapsed="false">
      <c r="B15" s="24" t="s">
        <v>72</v>
      </c>
      <c r="C15" s="25" t="n">
        <v>32033</v>
      </c>
      <c r="D15" s="25" t="n">
        <v>2883</v>
      </c>
      <c r="E15" s="25" t="n">
        <v>1922</v>
      </c>
      <c r="F15" s="25" t="n">
        <v>1201</v>
      </c>
      <c r="G15" s="25" t="n">
        <v>480</v>
      </c>
      <c r="H15" s="25" t="n">
        <v>721</v>
      </c>
      <c r="I15" s="25" t="n">
        <v>240</v>
      </c>
      <c r="J15" s="26" t="n">
        <f aca="false">IF(SUM(D15:I15)=0,"",SUM(D15:I15))</f>
        <v>7447</v>
      </c>
      <c r="K15" s="27" t="n">
        <v>46203</v>
      </c>
    </row>
    <row r="16" customFormat="false" ht="15" hidden="false" customHeight="true" outlineLevel="0" collapsed="false">
      <c r="B16" s="24" t="s">
        <v>73</v>
      </c>
      <c r="C16" s="25" t="n">
        <v>26113</v>
      </c>
      <c r="D16" s="25" t="n">
        <v>2350</v>
      </c>
      <c r="E16" s="25" t="n">
        <v>1567</v>
      </c>
      <c r="F16" s="25" t="n">
        <v>979</v>
      </c>
      <c r="G16" s="25" t="n">
        <v>392</v>
      </c>
      <c r="H16" s="25" t="n">
        <v>588</v>
      </c>
      <c r="I16" s="25" t="n">
        <v>196</v>
      </c>
      <c r="J16" s="26" t="n">
        <f aca="false">IF(SUM(D16:I16)=0,"",SUM(D16:I16))</f>
        <v>6072</v>
      </c>
      <c r="K16" s="27" t="n">
        <v>46203</v>
      </c>
    </row>
    <row r="17" customFormat="false" ht="15" hidden="false" customHeight="true" outlineLevel="0" collapsed="false">
      <c r="B17" s="24"/>
      <c r="C17" s="28"/>
      <c r="D17" s="28"/>
      <c r="E17" s="28"/>
      <c r="F17" s="28"/>
      <c r="G17" s="28"/>
      <c r="H17" s="28"/>
      <c r="I17" s="28"/>
      <c r="J17" s="26" t="str">
        <f aca="false">IF(SUM(D17:I17)=0,"",SUM(D17:I17))</f>
        <v/>
      </c>
      <c r="K17" s="24"/>
    </row>
    <row r="18" customFormat="false" ht="15" hidden="false" customHeight="true" outlineLevel="0" collapsed="false">
      <c r="B18" s="24"/>
      <c r="C18" s="24"/>
      <c r="D18" s="24"/>
      <c r="E18" s="24"/>
      <c r="F18" s="24"/>
      <c r="G18" s="24"/>
      <c r="H18" s="24"/>
      <c r="I18" s="24"/>
      <c r="J18" s="26" t="str">
        <f aca="false">IF(SUM(D18:I18)=0,"",SUM(D18:I18))</f>
        <v/>
      </c>
      <c r="K18" s="24"/>
    </row>
    <row r="19" customFormat="false" ht="15" hidden="false" customHeight="true" outlineLevel="0" collapsed="false">
      <c r="B19" s="24"/>
      <c r="C19" s="24"/>
      <c r="D19" s="24"/>
      <c r="E19" s="24"/>
      <c r="F19" s="24"/>
      <c r="G19" s="24"/>
      <c r="H19" s="24"/>
      <c r="I19" s="24"/>
      <c r="J19" s="26" t="str">
        <f aca="false">IF(SUM(D19:I19)=0,"",SUM(D19:I19))</f>
        <v/>
      </c>
      <c r="K19" s="24"/>
    </row>
    <row r="20" customFormat="false" ht="15" hidden="false" customHeight="true" outlineLevel="0" collapsed="false">
      <c r="B20" s="24"/>
      <c r="C20" s="24"/>
      <c r="D20" s="24"/>
      <c r="E20" s="24"/>
      <c r="F20" s="24"/>
      <c r="G20" s="24"/>
      <c r="H20" s="24"/>
      <c r="I20" s="24"/>
      <c r="J20" s="26" t="str">
        <f aca="false">IF(SUM(D20:I20)=0,"",SUM(D20:I20))</f>
        <v/>
      </c>
      <c r="K20" s="24"/>
    </row>
    <row r="21" customFormat="false" ht="15" hidden="false" customHeight="true" outlineLevel="0" collapsed="false">
      <c r="B21" s="24"/>
      <c r="C21" s="24"/>
      <c r="D21" s="24"/>
      <c r="E21" s="24"/>
      <c r="F21" s="24"/>
      <c r="G21" s="24"/>
      <c r="H21" s="24"/>
      <c r="I21" s="24"/>
      <c r="J21" s="26" t="str">
        <f aca="false">IF(SUM(D21:I21)=0,"",SUM(D21:I21))</f>
        <v/>
      </c>
      <c r="K21" s="24"/>
    </row>
    <row r="22" customFormat="false" ht="15" hidden="false" customHeight="true" outlineLevel="0" collapsed="false">
      <c r="B22" s="24"/>
      <c r="C22" s="24"/>
      <c r="D22" s="24"/>
      <c r="E22" s="24"/>
      <c r="F22" s="24"/>
      <c r="G22" s="24"/>
      <c r="H22" s="24"/>
      <c r="I22" s="24"/>
      <c r="J22" s="26" t="str">
        <f aca="false">IF(SUM(D22:I22)=0,"",SUM(D22:I22))</f>
        <v/>
      </c>
      <c r="K22" s="24"/>
    </row>
    <row r="23" customFormat="false" ht="15" hidden="false" customHeight="true" outlineLevel="0" collapsed="false">
      <c r="B23" s="24"/>
      <c r="C23" s="24"/>
      <c r="D23" s="24"/>
      <c r="E23" s="24"/>
      <c r="F23" s="24"/>
      <c r="G23" s="24"/>
      <c r="H23" s="24"/>
      <c r="I23" s="24"/>
      <c r="J23" s="26" t="str">
        <f aca="false">IF(SUM(D23:I23)=0,"",SUM(D23:I23))</f>
        <v/>
      </c>
      <c r="K23" s="24"/>
    </row>
    <row r="24" customFormat="false" ht="15" hidden="false" customHeight="true" outlineLevel="0" collapsed="false">
      <c r="B24" s="24"/>
      <c r="C24" s="24"/>
      <c r="D24" s="24"/>
      <c r="E24" s="24"/>
      <c r="F24" s="24"/>
      <c r="G24" s="24"/>
      <c r="H24" s="24"/>
      <c r="I24" s="24"/>
      <c r="J24" s="26" t="str">
        <f aca="false">IF(SUM(D24:I24)=0,"",SUM(D24:I24))</f>
        <v/>
      </c>
      <c r="K24" s="24"/>
    </row>
    <row r="25" customFormat="false" ht="15" hidden="false" customHeight="true" outlineLevel="0" collapsed="false">
      <c r="B25" s="24"/>
      <c r="C25" s="24"/>
      <c r="D25" s="24"/>
      <c r="E25" s="24"/>
      <c r="F25" s="24"/>
      <c r="G25" s="24"/>
      <c r="H25" s="24"/>
      <c r="I25" s="24"/>
      <c r="J25" s="26" t="str">
        <f aca="false">IF(SUM(D25:I25)=0,"",SUM(D25:I25))</f>
        <v/>
      </c>
      <c r="K25" s="24"/>
    </row>
    <row r="27" customFormat="false" ht="15" hidden="false" customHeight="true" outlineLevel="0" collapsed="false">
      <c r="B27" s="16" t="s">
        <v>74</v>
      </c>
      <c r="C27" s="29" t="n">
        <f aca="false">SUM(C6:C25)</f>
        <v>1097206</v>
      </c>
      <c r="D27" s="29" t="n">
        <f aca="false">SUM(D6:D25)</f>
        <v>144060</v>
      </c>
      <c r="E27" s="29" t="n">
        <f aca="false">SUM(E6:E25)</f>
        <v>96040</v>
      </c>
      <c r="F27" s="29" t="n">
        <f aca="false">SUM(F6:F25)</f>
        <v>60026</v>
      </c>
      <c r="G27" s="29" t="n">
        <f aca="false">SUM(G6:G25)</f>
        <v>24010</v>
      </c>
      <c r="H27" s="29" t="n">
        <f aca="false">SUM(H6:H25)</f>
        <v>36015</v>
      </c>
      <c r="I27" s="29" t="n">
        <f aca="false">SUM(I6:I25)</f>
        <v>12005</v>
      </c>
      <c r="J27" s="29" t="n">
        <f aca="false">SUM(J6:J25)</f>
        <v>372156</v>
      </c>
    </row>
    <row r="29" customFormat="false" ht="14.25" hidden="false" customHeight="false" outlineLevel="0" collapsed="false">
      <c r="B29" s="19" t="s">
        <v>75</v>
      </c>
    </row>
    <row r="30" customFormat="false" ht="14.25" hidden="false" customHeight="false" outlineLevel="0" collapsed="false">
      <c r="B30" s="19" t="s">
        <v>76</v>
      </c>
    </row>
    <row r="31" customFormat="false" ht="14.25" hidden="false" customHeight="false" outlineLevel="0" collapsed="false">
      <c r="B31" s="19" t="s">
        <v>77</v>
      </c>
    </row>
  </sheetData>
  <mergeCells count="2">
    <mergeCell ref="A2:J2"/>
    <mergeCell ref="B3:K3"/>
  </mergeCells>
  <printOptions headings="false" gridLines="false" gridLinesSet="true" horizontalCentered="false" verticalCentered="false"/>
  <pageMargins left="0.75" right="0.75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&amp;CHritvi Narvekar | 24102C0073 | CMPN C (TE)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H29"/>
  <sheetViews>
    <sheetView showFormulas="false" showGridLines="false" showRowColHeaders="true" showZeros="true" rightToLeft="false" tabSelected="false" showOutlineSymbols="true" defaultGridColor="true" view="normal" topLeftCell="A1" colorId="64" zoomScale="49" zoomScaleNormal="49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40"/>
    <col collapsed="false" customWidth="true" hidden="false" outlineLevel="0" max="4" min="4" style="0" width="16"/>
    <col collapsed="false" customWidth="true" hidden="false" outlineLevel="0" max="5" min="5" style="0" width="31"/>
    <col collapsed="false" customWidth="true" hidden="false" outlineLevel="0" max="6" min="6" style="0" width="28"/>
    <col collapsed="false" customWidth="true" hidden="false" outlineLevel="0" max="7" min="7" style="0" width="30"/>
    <col collapsed="false" customWidth="true" hidden="false" outlineLevel="0" max="8" min="8" style="0" width="18"/>
  </cols>
  <sheetData>
    <row r="2" customFormat="false" ht="25.5" hidden="false" customHeight="true" outlineLevel="0" collapsed="false">
      <c r="A2" s="1" t="s">
        <v>78</v>
      </c>
      <c r="B2" s="1"/>
      <c r="C2" s="1"/>
      <c r="D2" s="1"/>
      <c r="E2" s="1"/>
      <c r="F2" s="1"/>
      <c r="G2" s="1"/>
    </row>
    <row r="3" customFormat="false" ht="15" hidden="false" customHeight="true" outlineLevel="0" collapsed="false">
      <c r="B3" s="2" t="s">
        <v>79</v>
      </c>
      <c r="C3" s="2"/>
      <c r="D3" s="2"/>
      <c r="E3" s="2"/>
      <c r="F3" s="2"/>
      <c r="G3" s="2"/>
      <c r="H3" s="2"/>
    </row>
    <row r="5" customFormat="false" ht="31.5" hidden="false" customHeight="true" outlineLevel="0" collapsed="false">
      <c r="B5" s="7" t="s">
        <v>53</v>
      </c>
      <c r="C5" s="7" t="s">
        <v>80</v>
      </c>
      <c r="D5" s="7" t="s">
        <v>81</v>
      </c>
      <c r="E5" s="7" t="s">
        <v>82</v>
      </c>
      <c r="F5" s="7" t="s">
        <v>83</v>
      </c>
      <c r="G5" s="7" t="s">
        <v>84</v>
      </c>
      <c r="H5" s="7" t="s">
        <v>85</v>
      </c>
    </row>
    <row r="6" customFormat="false" ht="15" hidden="false" customHeight="true" outlineLevel="0" collapsed="false">
      <c r="B6" s="24" t="s">
        <v>63</v>
      </c>
      <c r="C6" s="26" t="n">
        <f aca="false">IFERROR(INDEX(1_Generation_Inventory!$J$6:$J$25,MATCH(B6,1_Generation_Inventory!$B$6:$B$25,0)),"")</f>
        <v>179957</v>
      </c>
      <c r="D6" s="25" t="n">
        <v>25194</v>
      </c>
      <c r="E6" s="28" t="n">
        <v>4</v>
      </c>
      <c r="F6" s="25" t="n">
        <v>27713</v>
      </c>
      <c r="G6" s="25" t="n">
        <v>22675</v>
      </c>
      <c r="H6" s="24" t="s">
        <v>86</v>
      </c>
    </row>
    <row r="7" customFormat="false" ht="15" hidden="false" customHeight="true" outlineLevel="0" collapsed="false">
      <c r="B7" s="24" t="s">
        <v>64</v>
      </c>
      <c r="C7" s="26" t="n">
        <f aca="false">IFERROR(INDEX(1_Generation_Inventory!$J$6:$J$25,MATCH(B7,1_Generation_Inventory!$B$6:$B$25,0)),"")</f>
        <v>41947</v>
      </c>
      <c r="D7" s="25" t="n">
        <v>3775</v>
      </c>
      <c r="E7" s="28" t="n">
        <v>2</v>
      </c>
      <c r="F7" s="25" t="n">
        <v>4152</v>
      </c>
      <c r="G7" s="25" t="n">
        <v>3398</v>
      </c>
      <c r="H7" s="24" t="s">
        <v>86</v>
      </c>
    </row>
    <row r="8" customFormat="false" ht="15" hidden="false" customHeight="true" outlineLevel="0" collapsed="false">
      <c r="B8" s="24" t="s">
        <v>65</v>
      </c>
      <c r="C8" s="26" t="n">
        <f aca="false">IFERROR(INDEX(1_Generation_Inventory!$J$6:$J$25,MATCH(B8,1_Generation_Inventory!$B$6:$B$25,0)),"")</f>
        <v>27410</v>
      </c>
      <c r="D8" s="25" t="n">
        <v>1096</v>
      </c>
      <c r="E8" s="28" t="n">
        <v>1</v>
      </c>
      <c r="F8" s="25" t="n">
        <v>1206</v>
      </c>
      <c r="G8" s="25" t="n">
        <v>986</v>
      </c>
      <c r="H8" s="24" t="s">
        <v>87</v>
      </c>
    </row>
    <row r="9" customFormat="false" ht="15" hidden="false" customHeight="true" outlineLevel="0" collapsed="false">
      <c r="B9" s="24" t="s">
        <v>66</v>
      </c>
      <c r="C9" s="26" t="n">
        <f aca="false">IFERROR(INDEX(1_Generation_Inventory!$J$6:$J$25,MATCH(B9,1_Generation_Inventory!$B$6:$B$25,0)),"")</f>
        <v>20080</v>
      </c>
      <c r="D9" s="25" t="n">
        <v>803</v>
      </c>
      <c r="E9" s="28" t="n">
        <v>0</v>
      </c>
      <c r="F9" s="25" t="n">
        <v>883</v>
      </c>
      <c r="G9" s="25" t="n">
        <v>723</v>
      </c>
      <c r="H9" s="24" t="s">
        <v>88</v>
      </c>
    </row>
    <row r="10" customFormat="false" ht="15" hidden="false" customHeight="true" outlineLevel="0" collapsed="false">
      <c r="B10" s="24" t="s">
        <v>67</v>
      </c>
      <c r="C10" s="26" t="n">
        <f aca="false">IFERROR(INDEX(1_Generation_Inventory!$J$6:$J$25,MATCH(B10,1_Generation_Inventory!$B$6:$B$25,0)),"")</f>
        <v>26027</v>
      </c>
      <c r="D10" s="25" t="n">
        <v>2082</v>
      </c>
      <c r="E10" s="28" t="n">
        <v>1</v>
      </c>
      <c r="F10" s="25" t="n">
        <v>2290</v>
      </c>
      <c r="G10" s="25" t="n">
        <v>1874</v>
      </c>
      <c r="H10" s="24" t="s">
        <v>86</v>
      </c>
    </row>
    <row r="11" customFormat="false" ht="15" hidden="false" customHeight="true" outlineLevel="0" collapsed="false">
      <c r="B11" s="24" t="s">
        <v>68</v>
      </c>
      <c r="C11" s="26" t="n">
        <f aca="false">IFERROR(INDEX(1_Generation_Inventory!$J$6:$J$25,MATCH(B11,1_Generation_Inventory!$B$6:$B$25,0)),"")</f>
        <v>20205</v>
      </c>
      <c r="D11" s="25" t="n">
        <v>1616</v>
      </c>
      <c r="E11" s="28" t="n">
        <v>1</v>
      </c>
      <c r="F11" s="25" t="n">
        <v>1778</v>
      </c>
      <c r="G11" s="25" t="n">
        <v>1454</v>
      </c>
      <c r="H11" s="24" t="s">
        <v>86</v>
      </c>
    </row>
    <row r="12" customFormat="false" ht="15" hidden="false" customHeight="true" outlineLevel="0" collapsed="false">
      <c r="B12" s="24" t="s">
        <v>69</v>
      </c>
      <c r="C12" s="26" t="n">
        <f aca="false">IFERROR(INDEX(1_Generation_Inventory!$J$6:$J$25,MATCH(B12,1_Generation_Inventory!$B$6:$B$25,0)),"")</f>
        <v>20130</v>
      </c>
      <c r="D12" s="25" t="n">
        <v>1409</v>
      </c>
      <c r="E12" s="28" t="n">
        <v>1</v>
      </c>
      <c r="F12" s="25" t="n">
        <v>1550</v>
      </c>
      <c r="G12" s="25" t="n">
        <v>1268</v>
      </c>
      <c r="H12" s="24" t="s">
        <v>86</v>
      </c>
    </row>
    <row r="13" customFormat="false" ht="15" hidden="false" customHeight="true" outlineLevel="0" collapsed="false">
      <c r="B13" s="24" t="s">
        <v>70</v>
      </c>
      <c r="C13" s="26" t="n">
        <f aca="false">IFERROR(INDEX(1_Generation_Inventory!$J$6:$J$25,MATCH(B13,1_Generation_Inventory!$B$6:$B$25,0)),"")</f>
        <v>13154</v>
      </c>
      <c r="D13" s="25" t="n">
        <v>658</v>
      </c>
      <c r="E13" s="28" t="n">
        <v>1</v>
      </c>
      <c r="F13" s="25" t="n">
        <v>724</v>
      </c>
      <c r="G13" s="25" t="n">
        <v>592</v>
      </c>
      <c r="H13" s="24" t="s">
        <v>86</v>
      </c>
    </row>
    <row r="14" customFormat="false" ht="15" hidden="false" customHeight="true" outlineLevel="0" collapsed="false">
      <c r="B14" s="24" t="s">
        <v>71</v>
      </c>
      <c r="C14" s="26" t="n">
        <f aca="false">IFERROR(INDEX(1_Generation_Inventory!$J$6:$J$25,MATCH(B14,1_Generation_Inventory!$B$6:$B$25,0)),"")</f>
        <v>9727</v>
      </c>
      <c r="D14" s="25" t="n">
        <v>292</v>
      </c>
      <c r="E14" s="28" t="n">
        <v>0</v>
      </c>
      <c r="F14" s="25" t="n">
        <v>321</v>
      </c>
      <c r="G14" s="25" t="n">
        <v>263</v>
      </c>
      <c r="H14" s="24" t="s">
        <v>88</v>
      </c>
    </row>
    <row r="15" customFormat="false" ht="15" hidden="false" customHeight="true" outlineLevel="0" collapsed="false">
      <c r="B15" s="24" t="s">
        <v>72</v>
      </c>
      <c r="C15" s="26" t="n">
        <f aca="false">IFERROR(INDEX(1_Generation_Inventory!$J$6:$J$25,MATCH(B15,1_Generation_Inventory!$B$6:$B$25,0)),"")</f>
        <v>7447</v>
      </c>
      <c r="D15" s="25" t="n">
        <v>298</v>
      </c>
      <c r="E15" s="28" t="n">
        <v>0</v>
      </c>
      <c r="F15" s="25" t="n">
        <v>328</v>
      </c>
      <c r="G15" s="25" t="n">
        <v>268</v>
      </c>
      <c r="H15" s="24" t="s">
        <v>88</v>
      </c>
    </row>
    <row r="16" customFormat="false" ht="15" hidden="false" customHeight="true" outlineLevel="0" collapsed="false">
      <c r="B16" s="24" t="s">
        <v>73</v>
      </c>
      <c r="C16" s="26" t="n">
        <f aca="false">IFERROR(INDEX(1_Generation_Inventory!$J$6:$J$25,MATCH(B16,1_Generation_Inventory!$B$6:$B$25,0)),"")</f>
        <v>6072</v>
      </c>
      <c r="D16" s="25" t="n">
        <v>182</v>
      </c>
      <c r="E16" s="28" t="n">
        <v>0</v>
      </c>
      <c r="F16" s="25" t="n">
        <v>200</v>
      </c>
      <c r="G16" s="25" t="n">
        <v>164</v>
      </c>
      <c r="H16" s="24" t="s">
        <v>88</v>
      </c>
    </row>
    <row r="17" customFormat="false" ht="15" hidden="false" customHeight="true" outlineLevel="0" collapsed="false">
      <c r="B17" s="24"/>
      <c r="C17" s="26" t="str">
        <f aca="false">IFERROR(INDEX(1_Generation_Inventory!$J$6:$J$25,MATCH(B17,1_Generation_Inventory!$B$6:$B$25,0)),"")</f>
        <v/>
      </c>
      <c r="D17" s="25"/>
      <c r="E17" s="28"/>
      <c r="F17" s="25"/>
      <c r="G17" s="25"/>
      <c r="H17" s="24"/>
    </row>
    <row r="18" customFormat="false" ht="15" hidden="false" customHeight="true" outlineLevel="0" collapsed="false">
      <c r="B18" s="24"/>
      <c r="C18" s="26" t="str">
        <f aca="false">IFERROR(INDEX(1_Generation_Inventory!$J$6:$J$25,MATCH(B18,1_Generation_Inventory!$B$6:$B$25,0)),"")</f>
        <v/>
      </c>
      <c r="D18" s="30"/>
      <c r="E18" s="24"/>
      <c r="F18" s="30"/>
      <c r="G18" s="30"/>
      <c r="H18" s="24"/>
    </row>
    <row r="19" customFormat="false" ht="15" hidden="false" customHeight="true" outlineLevel="0" collapsed="false">
      <c r="B19" s="24"/>
      <c r="C19" s="26" t="str">
        <f aca="false">IFERROR(INDEX(1_Generation_Inventory!$J$6:$J$25,MATCH(B19,1_Generation_Inventory!$B$6:$B$25,0)),"")</f>
        <v/>
      </c>
      <c r="D19" s="30"/>
      <c r="E19" s="24"/>
      <c r="F19" s="30"/>
      <c r="G19" s="30"/>
      <c r="H19" s="24"/>
    </row>
    <row r="20" customFormat="false" ht="15" hidden="false" customHeight="true" outlineLevel="0" collapsed="false">
      <c r="B20" s="24"/>
      <c r="C20" s="26" t="str">
        <f aca="false">IFERROR(INDEX(1_Generation_Inventory!$J$6:$J$25,MATCH(B20,1_Generation_Inventory!$B$6:$B$25,0)),"")</f>
        <v/>
      </c>
      <c r="D20" s="30"/>
      <c r="E20" s="24"/>
      <c r="F20" s="30"/>
      <c r="G20" s="30"/>
      <c r="H20" s="24"/>
    </row>
    <row r="21" customFormat="false" ht="15" hidden="false" customHeight="true" outlineLevel="0" collapsed="false">
      <c r="B21" s="24"/>
      <c r="C21" s="26" t="str">
        <f aca="false">IFERROR(INDEX(1_Generation_Inventory!$J$6:$J$25,MATCH(B21,1_Generation_Inventory!$B$6:$B$25,0)),"")</f>
        <v/>
      </c>
      <c r="D21" s="30"/>
      <c r="E21" s="24"/>
      <c r="F21" s="30"/>
      <c r="G21" s="30"/>
      <c r="H21" s="24"/>
    </row>
    <row r="22" customFormat="false" ht="15" hidden="false" customHeight="true" outlineLevel="0" collapsed="false">
      <c r="B22" s="24"/>
      <c r="C22" s="26" t="str">
        <f aca="false">IFERROR(INDEX(1_Generation_Inventory!$J$6:$J$25,MATCH(B22,1_Generation_Inventory!$B$6:$B$25,0)),"")</f>
        <v/>
      </c>
      <c r="D22" s="30"/>
      <c r="E22" s="24"/>
      <c r="F22" s="30"/>
      <c r="G22" s="30"/>
      <c r="H22" s="24"/>
    </row>
    <row r="23" customFormat="false" ht="15" hidden="false" customHeight="true" outlineLevel="0" collapsed="false">
      <c r="B23" s="24"/>
      <c r="C23" s="26" t="str">
        <f aca="false">IFERROR(INDEX(1_Generation_Inventory!$J$6:$J$25,MATCH(B23,1_Generation_Inventory!$B$6:$B$25,0)),"")</f>
        <v/>
      </c>
      <c r="D23" s="30"/>
      <c r="E23" s="24"/>
      <c r="F23" s="30"/>
      <c r="G23" s="30"/>
      <c r="H23" s="24"/>
    </row>
    <row r="24" customFormat="false" ht="15" hidden="false" customHeight="true" outlineLevel="0" collapsed="false">
      <c r="B24" s="24"/>
      <c r="C24" s="26" t="str">
        <f aca="false">IFERROR(INDEX(1_Generation_Inventory!$J$6:$J$25,MATCH(B24,1_Generation_Inventory!$B$6:$B$25,0)),"")</f>
        <v/>
      </c>
      <c r="D24" s="30"/>
      <c r="E24" s="24"/>
      <c r="F24" s="30"/>
      <c r="G24" s="30"/>
      <c r="H24" s="24"/>
    </row>
    <row r="25" customFormat="false" ht="15" hidden="false" customHeight="true" outlineLevel="0" collapsed="false">
      <c r="B25" s="24"/>
      <c r="C25" s="26" t="str">
        <f aca="false">IFERROR(INDEX(1_Generation_Inventory!$J$6:$J$25,MATCH(B25,1_Generation_Inventory!$B$6:$B$25,0)),"")</f>
        <v/>
      </c>
      <c r="D25" s="30"/>
      <c r="E25" s="24"/>
      <c r="F25" s="30"/>
      <c r="G25" s="30"/>
      <c r="H25" s="24"/>
    </row>
    <row r="27" customFormat="false" ht="15" hidden="false" customHeight="true" outlineLevel="0" collapsed="false">
      <c r="B27" s="16" t="s">
        <v>74</v>
      </c>
      <c r="C27" s="29" t="n">
        <f aca="false">SUM(C6:C25)</f>
        <v>372156</v>
      </c>
      <c r="D27" s="29" t="n">
        <f aca="false">SUM(D6:D25)</f>
        <v>37405</v>
      </c>
      <c r="E27" s="29" t="n">
        <f aca="false">SUM(E6:E25)</f>
        <v>11</v>
      </c>
      <c r="F27" s="29" t="n">
        <f aca="false">SUM(F6:F25)</f>
        <v>41145</v>
      </c>
      <c r="G27" s="29" t="n">
        <f aca="false">SUM(G6:G25)</f>
        <v>33665</v>
      </c>
    </row>
    <row r="29" customFormat="false" ht="14.25" hidden="false" customHeight="false" outlineLevel="0" collapsed="false">
      <c r="B29" s="19" t="s">
        <v>89</v>
      </c>
    </row>
  </sheetData>
  <mergeCells count="2">
    <mergeCell ref="A2:G2"/>
    <mergeCell ref="B3:H3"/>
  </mergeCells>
  <dataValidations count="1">
    <dataValidation allowBlank="true" errorStyle="stop" operator="between" showDropDown="false" showErrorMessage="true" showInputMessage="false" sqref="B6:B25" type="list">
      <formula1>1_Generation_Inventory!$B$6:$B$25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&amp;CHritvi Narvekar | 24102C0073 | CMPN C (TE)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H31"/>
  <sheetViews>
    <sheetView showFormulas="false" showGridLines="false" showRowColHeaders="true" showZeros="true" rightToLeft="false" tabSelected="false" showOutlineSymbols="true" defaultGridColor="true" view="normal" topLeftCell="A1" colorId="64" zoomScale="41" zoomScaleNormal="41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29"/>
    <col collapsed="false" customWidth="true" hidden="false" outlineLevel="0" max="4" min="4" style="0" width="14"/>
    <col collapsed="false" customWidth="true" hidden="false" outlineLevel="0" max="5" min="5" style="0" width="32"/>
    <col collapsed="false" customWidth="true" hidden="false" outlineLevel="0" max="6" min="6" style="0" width="39"/>
    <col collapsed="false" customWidth="true" hidden="false" outlineLevel="0" max="7" min="7" style="0" width="28"/>
    <col collapsed="false" customWidth="true" hidden="false" outlineLevel="0" max="8" min="8" style="0" width="26"/>
  </cols>
  <sheetData>
    <row r="2" customFormat="false" ht="25.5" hidden="false" customHeight="true" outlineLevel="0" collapsed="false">
      <c r="A2" s="1" t="s">
        <v>90</v>
      </c>
      <c r="B2" s="1"/>
      <c r="C2" s="1"/>
      <c r="D2" s="1"/>
      <c r="E2" s="1"/>
      <c r="F2" s="1"/>
      <c r="G2" s="1"/>
    </row>
    <row r="3" customFormat="false" ht="15" hidden="false" customHeight="true" outlineLevel="0" collapsed="false">
      <c r="B3" s="2" t="s">
        <v>91</v>
      </c>
      <c r="C3" s="2"/>
      <c r="D3" s="2"/>
      <c r="E3" s="2"/>
      <c r="F3" s="2"/>
      <c r="G3" s="2"/>
      <c r="H3" s="2"/>
    </row>
    <row r="5" customFormat="false" ht="31.5" hidden="false" customHeight="true" outlineLevel="0" collapsed="false">
      <c r="B5" s="7" t="s">
        <v>92</v>
      </c>
      <c r="C5" s="7" t="s">
        <v>93</v>
      </c>
      <c r="D5" s="7" t="s">
        <v>53</v>
      </c>
      <c r="E5" s="7" t="s">
        <v>94</v>
      </c>
      <c r="F5" s="7" t="s">
        <v>95</v>
      </c>
      <c r="G5" s="7" t="s">
        <v>96</v>
      </c>
      <c r="H5" s="7" t="s">
        <v>97</v>
      </c>
    </row>
    <row r="6" customFormat="false" ht="15" hidden="false" customHeight="true" outlineLevel="0" collapsed="false">
      <c r="B6" s="24" t="s">
        <v>98</v>
      </c>
      <c r="C6" s="24" t="s">
        <v>99</v>
      </c>
      <c r="D6" s="24" t="s">
        <v>63</v>
      </c>
      <c r="E6" s="28" t="n">
        <v>140</v>
      </c>
      <c r="F6" s="28" t="n">
        <v>62</v>
      </c>
      <c r="G6" s="31" t="n">
        <v>0.78</v>
      </c>
      <c r="H6" s="27" t="n">
        <v>47118</v>
      </c>
    </row>
    <row r="7" customFormat="false" ht="15" hidden="false" customHeight="true" outlineLevel="0" collapsed="false">
      <c r="B7" s="24" t="s">
        <v>100</v>
      </c>
      <c r="C7" s="24" t="s">
        <v>101</v>
      </c>
      <c r="D7" s="24" t="s">
        <v>64</v>
      </c>
      <c r="E7" s="28" t="n">
        <v>60</v>
      </c>
      <c r="F7" s="28" t="n">
        <v>24</v>
      </c>
      <c r="G7" s="31" t="n">
        <v>0.72</v>
      </c>
      <c r="H7" s="27" t="n">
        <v>46934</v>
      </c>
    </row>
    <row r="8" customFormat="false" ht="15" hidden="false" customHeight="true" outlineLevel="0" collapsed="false">
      <c r="B8" s="24" t="s">
        <v>102</v>
      </c>
      <c r="C8" s="24" t="s">
        <v>103</v>
      </c>
      <c r="D8" s="24" t="s">
        <v>67</v>
      </c>
      <c r="E8" s="28" t="n">
        <v>40</v>
      </c>
      <c r="F8" s="28" t="n">
        <v>12</v>
      </c>
      <c r="G8" s="31" t="n">
        <v>0.7</v>
      </c>
      <c r="H8" s="27" t="n">
        <v>47573</v>
      </c>
    </row>
    <row r="9" customFormat="false" ht="15" hidden="false" customHeight="true" outlineLevel="0" collapsed="false">
      <c r="B9" s="24"/>
      <c r="C9" s="24"/>
      <c r="D9" s="24"/>
      <c r="E9" s="28"/>
      <c r="F9" s="28"/>
      <c r="G9" s="31"/>
      <c r="H9" s="24"/>
    </row>
    <row r="10" customFormat="false" ht="15" hidden="false" customHeight="true" outlineLevel="0" collapsed="false">
      <c r="B10" s="24"/>
      <c r="C10" s="24"/>
      <c r="D10" s="24"/>
      <c r="E10" s="24"/>
      <c r="F10" s="24"/>
      <c r="G10" s="32"/>
      <c r="H10" s="24"/>
    </row>
    <row r="11" customFormat="false" ht="15" hidden="false" customHeight="true" outlineLevel="0" collapsed="false">
      <c r="B11" s="24"/>
      <c r="C11" s="24"/>
      <c r="D11" s="24"/>
      <c r="E11" s="24"/>
      <c r="F11" s="24"/>
      <c r="G11" s="32"/>
      <c r="H11" s="24"/>
    </row>
    <row r="12" customFormat="false" ht="15" hidden="false" customHeight="true" outlineLevel="0" collapsed="false">
      <c r="B12" s="24"/>
      <c r="C12" s="24"/>
      <c r="D12" s="24"/>
      <c r="E12" s="24"/>
      <c r="F12" s="24"/>
      <c r="G12" s="32"/>
      <c r="H12" s="24"/>
    </row>
    <row r="13" customFormat="false" ht="15" hidden="false" customHeight="true" outlineLevel="0" collapsed="false">
      <c r="B13" s="24"/>
      <c r="C13" s="24"/>
      <c r="D13" s="24"/>
      <c r="E13" s="24"/>
      <c r="F13" s="24"/>
      <c r="G13" s="32"/>
      <c r="H13" s="24"/>
    </row>
    <row r="14" customFormat="false" ht="15" hidden="false" customHeight="true" outlineLevel="0" collapsed="false">
      <c r="B14" s="24"/>
      <c r="C14" s="24"/>
      <c r="D14" s="24"/>
      <c r="E14" s="24"/>
      <c r="F14" s="24"/>
      <c r="G14" s="32"/>
      <c r="H14" s="24"/>
    </row>
    <row r="15" customFormat="false" ht="15" hidden="false" customHeight="true" outlineLevel="0" collapsed="false">
      <c r="B15" s="24"/>
      <c r="C15" s="24"/>
      <c r="D15" s="24"/>
      <c r="E15" s="24"/>
      <c r="F15" s="24"/>
      <c r="G15" s="32"/>
      <c r="H15" s="24"/>
    </row>
    <row r="16" customFormat="false" ht="15" hidden="false" customHeight="true" outlineLevel="0" collapsed="false">
      <c r="B16" s="24"/>
      <c r="C16" s="24"/>
      <c r="D16" s="24"/>
      <c r="E16" s="24"/>
      <c r="F16" s="24"/>
      <c r="G16" s="32"/>
      <c r="H16" s="24"/>
    </row>
    <row r="17" customFormat="false" ht="15" hidden="false" customHeight="true" outlineLevel="0" collapsed="false">
      <c r="B17" s="24"/>
      <c r="C17" s="24"/>
      <c r="D17" s="24"/>
      <c r="E17" s="24"/>
      <c r="F17" s="24"/>
      <c r="G17" s="32"/>
      <c r="H17" s="24"/>
    </row>
    <row r="18" customFormat="false" ht="15" hidden="false" customHeight="true" outlineLevel="0" collapsed="false">
      <c r="B18" s="24"/>
      <c r="C18" s="24"/>
      <c r="D18" s="24"/>
      <c r="E18" s="24"/>
      <c r="F18" s="24"/>
      <c r="G18" s="32"/>
      <c r="H18" s="24"/>
    </row>
    <row r="19" customFormat="false" ht="15" hidden="false" customHeight="true" outlineLevel="0" collapsed="false">
      <c r="B19" s="24"/>
      <c r="C19" s="24"/>
      <c r="D19" s="24"/>
      <c r="E19" s="24"/>
      <c r="F19" s="24"/>
      <c r="G19" s="32"/>
      <c r="H19" s="24"/>
    </row>
    <row r="20" customFormat="false" ht="15" hidden="false" customHeight="true" outlineLevel="0" collapsed="false">
      <c r="B20" s="24"/>
      <c r="C20" s="24"/>
      <c r="D20" s="24"/>
      <c r="E20" s="24"/>
      <c r="F20" s="24"/>
      <c r="G20" s="32"/>
      <c r="H20" s="24"/>
    </row>
    <row r="21" customFormat="false" ht="15" hidden="false" customHeight="true" outlineLevel="0" collapsed="false">
      <c r="B21" s="24"/>
      <c r="C21" s="24"/>
      <c r="D21" s="24"/>
      <c r="E21" s="24"/>
      <c r="F21" s="24"/>
      <c r="G21" s="32"/>
      <c r="H21" s="24"/>
    </row>
    <row r="22" customFormat="false" ht="15" hidden="false" customHeight="true" outlineLevel="0" collapsed="false">
      <c r="B22" s="24"/>
      <c r="C22" s="24"/>
      <c r="D22" s="24"/>
      <c r="E22" s="24"/>
      <c r="F22" s="24"/>
      <c r="G22" s="32"/>
      <c r="H22" s="24"/>
    </row>
    <row r="23" customFormat="false" ht="15" hidden="false" customHeight="true" outlineLevel="0" collapsed="false">
      <c r="B23" s="24"/>
      <c r="C23" s="24"/>
      <c r="D23" s="24"/>
      <c r="E23" s="24"/>
      <c r="F23" s="24"/>
      <c r="G23" s="32"/>
      <c r="H23" s="24"/>
    </row>
    <row r="24" customFormat="false" ht="15" hidden="false" customHeight="true" outlineLevel="0" collapsed="false">
      <c r="B24" s="24"/>
      <c r="C24" s="24"/>
      <c r="D24" s="24"/>
      <c r="E24" s="24"/>
      <c r="F24" s="24"/>
      <c r="G24" s="32"/>
      <c r="H24" s="24"/>
    </row>
    <row r="25" customFormat="false" ht="15" hidden="false" customHeight="true" outlineLevel="0" collapsed="false">
      <c r="B25" s="24"/>
      <c r="C25" s="24"/>
      <c r="D25" s="24"/>
      <c r="E25" s="24"/>
      <c r="F25" s="24"/>
      <c r="G25" s="32"/>
      <c r="H25" s="24"/>
    </row>
    <row r="26" customFormat="false" ht="15" hidden="false" customHeight="true" outlineLevel="0" collapsed="false">
      <c r="B26" s="24"/>
      <c r="C26" s="24"/>
      <c r="D26" s="24"/>
      <c r="E26" s="24"/>
      <c r="F26" s="24"/>
      <c r="G26" s="32"/>
      <c r="H26" s="24"/>
    </row>
    <row r="28" customFormat="false" ht="15" hidden="false" customHeight="true" outlineLevel="0" collapsed="false">
      <c r="B28" s="16" t="s">
        <v>74</v>
      </c>
      <c r="D28" s="16"/>
      <c r="E28" s="29" t="n">
        <f aca="false">SUM(E6:E26)</f>
        <v>240</v>
      </c>
      <c r="F28" s="29" t="n">
        <f aca="false">SUM(F6:F26)</f>
        <v>98</v>
      </c>
      <c r="G28" s="33" t="n">
        <f aca="false">IFERROR(SUMPRODUCT(F6:F26,G6:G26)/SUM(F6:F26),0)</f>
        <v>0.755510204081633</v>
      </c>
    </row>
    <row r="30" customFormat="false" ht="14.25" hidden="false" customHeight="false" outlineLevel="0" collapsed="false">
      <c r="B30" s="19" t="s">
        <v>104</v>
      </c>
    </row>
    <row r="31" customFormat="false" ht="14.25" hidden="false" customHeight="false" outlineLevel="0" collapsed="false">
      <c r="B31" s="19" t="s">
        <v>105</v>
      </c>
    </row>
  </sheetData>
  <mergeCells count="2">
    <mergeCell ref="A2:G2"/>
    <mergeCell ref="B3:H3"/>
  </mergeCells>
  <dataValidations count="1">
    <dataValidation allowBlank="true" errorStyle="stop" operator="between" showDropDown="false" showErrorMessage="true" showInputMessage="false" sqref="D6:D26" type="list">
      <formula1>1_Generation_Inventory!$B$6:$B$25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&amp;CHritvi Narvekar | 24102C0073 | CMPN C (TE)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35"/>
  <sheetViews>
    <sheetView showFormulas="false" showGridLines="false" showRowColHeaders="true" showZeros="true" rightToLeft="false" tabSelected="false" showOutlineSymbols="true" defaultGridColor="true" view="normal" topLeftCell="A1" colorId="64" zoomScale="38" zoomScaleNormal="38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9"/>
    <col collapsed="false" customWidth="true" hidden="false" outlineLevel="0" max="5" min="5" style="0" width="26"/>
    <col collapsed="false" customWidth="true" hidden="false" outlineLevel="0" max="6" min="6" style="0" width="28"/>
    <col collapsed="false" customWidth="true" hidden="false" outlineLevel="0" max="7" min="7" style="0" width="35"/>
    <col collapsed="false" customWidth="true" hidden="false" outlineLevel="0" max="8" min="8" style="0" width="24"/>
    <col collapsed="false" customWidth="true" hidden="false" outlineLevel="0" max="9" min="9" style="0" width="22"/>
  </cols>
  <sheetData>
    <row r="2" customFormat="false" ht="25.5" hidden="false" customHeight="true" outlineLevel="0" collapsed="false">
      <c r="A2" s="1" t="s">
        <v>106</v>
      </c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B3" s="2" t="s">
        <v>107</v>
      </c>
      <c r="C3" s="2"/>
      <c r="D3" s="2"/>
      <c r="E3" s="2"/>
      <c r="F3" s="2"/>
      <c r="G3" s="2"/>
      <c r="H3" s="2"/>
      <c r="I3" s="2"/>
    </row>
    <row r="5" customFormat="false" ht="31.5" hidden="false" customHeight="true" outlineLevel="0" collapsed="false">
      <c r="B5" s="7" t="s">
        <v>108</v>
      </c>
      <c r="C5" s="7" t="s">
        <v>109</v>
      </c>
      <c r="D5" s="7" t="s">
        <v>110</v>
      </c>
      <c r="E5" s="7" t="s">
        <v>111</v>
      </c>
      <c r="F5" s="7" t="s">
        <v>112</v>
      </c>
      <c r="G5" s="7" t="s">
        <v>113</v>
      </c>
      <c r="H5" s="7" t="s">
        <v>114</v>
      </c>
      <c r="I5" s="7" t="s">
        <v>85</v>
      </c>
    </row>
    <row r="6" customFormat="false" ht="15" hidden="false" customHeight="true" outlineLevel="0" collapsed="false">
      <c r="B6" s="24" t="s">
        <v>115</v>
      </c>
      <c r="C6" s="24" t="s">
        <v>116</v>
      </c>
      <c r="D6" s="24" t="s">
        <v>117</v>
      </c>
      <c r="E6" s="24" t="s">
        <v>118</v>
      </c>
      <c r="F6" s="24" t="s">
        <v>118</v>
      </c>
      <c r="G6" s="24" t="s">
        <v>119</v>
      </c>
      <c r="H6" s="24" t="s">
        <v>120</v>
      </c>
      <c r="I6" s="24" t="s">
        <v>121</v>
      </c>
    </row>
    <row r="7" customFormat="false" ht="15" hidden="false" customHeight="true" outlineLevel="0" collapsed="false">
      <c r="B7" s="24" t="s">
        <v>122</v>
      </c>
      <c r="C7" s="24" t="s">
        <v>123</v>
      </c>
      <c r="D7" s="24" t="s">
        <v>124</v>
      </c>
      <c r="E7" s="24" t="s">
        <v>118</v>
      </c>
      <c r="F7" s="24" t="s">
        <v>118</v>
      </c>
      <c r="G7" s="24" t="s">
        <v>118</v>
      </c>
      <c r="H7" s="24" t="s">
        <v>119</v>
      </c>
      <c r="I7" s="24" t="s">
        <v>125</v>
      </c>
    </row>
    <row r="8" customFormat="false" ht="15" hidden="false" customHeight="true" outlineLevel="0" collapsed="false">
      <c r="B8" s="24" t="s">
        <v>126</v>
      </c>
      <c r="C8" s="24" t="s">
        <v>127</v>
      </c>
      <c r="D8" s="24" t="s">
        <v>117</v>
      </c>
      <c r="E8" s="24" t="s">
        <v>118</v>
      </c>
      <c r="F8" s="24" t="s">
        <v>118</v>
      </c>
      <c r="G8" s="24" t="s">
        <v>119</v>
      </c>
      <c r="H8" s="24" t="s">
        <v>120</v>
      </c>
      <c r="I8" s="24" t="s">
        <v>121</v>
      </c>
    </row>
    <row r="9" customFormat="false" ht="15" hidden="false" customHeight="true" outlineLevel="0" collapsed="false">
      <c r="B9" s="24" t="s">
        <v>128</v>
      </c>
      <c r="C9" s="24" t="s">
        <v>129</v>
      </c>
      <c r="D9" s="24" t="s">
        <v>130</v>
      </c>
      <c r="E9" s="24" t="s">
        <v>118</v>
      </c>
      <c r="F9" s="24" t="s">
        <v>119</v>
      </c>
      <c r="G9" s="24" t="s">
        <v>119</v>
      </c>
      <c r="H9" s="24" t="s">
        <v>120</v>
      </c>
      <c r="I9" s="24" t="s">
        <v>131</v>
      </c>
    </row>
    <row r="10" customFormat="false" ht="15" hidden="false" customHeight="true" outlineLevel="0" collapsed="false">
      <c r="B10" s="24" t="s">
        <v>132</v>
      </c>
      <c r="C10" s="24" t="s">
        <v>133</v>
      </c>
      <c r="D10" s="24" t="s">
        <v>117</v>
      </c>
      <c r="E10" s="24" t="s">
        <v>118</v>
      </c>
      <c r="F10" s="24" t="s">
        <v>118</v>
      </c>
      <c r="G10" s="24" t="s">
        <v>119</v>
      </c>
      <c r="H10" s="24" t="s">
        <v>120</v>
      </c>
      <c r="I10" s="24" t="s">
        <v>121</v>
      </c>
    </row>
    <row r="11" customFormat="false" ht="15" hidden="false" customHeight="true" outlineLevel="0" collapsed="false">
      <c r="B11" s="24" t="s">
        <v>134</v>
      </c>
      <c r="C11" s="24" t="s">
        <v>135</v>
      </c>
      <c r="D11" s="24" t="s">
        <v>124</v>
      </c>
      <c r="E11" s="24" t="s">
        <v>118</v>
      </c>
      <c r="F11" s="24" t="s">
        <v>118</v>
      </c>
      <c r="G11" s="24" t="s">
        <v>118</v>
      </c>
      <c r="H11" s="24" t="s">
        <v>118</v>
      </c>
      <c r="I11" s="24" t="s">
        <v>136</v>
      </c>
    </row>
    <row r="12" customFormat="false" ht="15" hidden="false" customHeight="true" outlineLevel="0" collapsed="false">
      <c r="B12" s="24" t="s">
        <v>137</v>
      </c>
      <c r="C12" s="24" t="s">
        <v>138</v>
      </c>
      <c r="D12" s="24" t="s">
        <v>117</v>
      </c>
      <c r="E12" s="24" t="s">
        <v>118</v>
      </c>
      <c r="F12" s="24" t="s">
        <v>119</v>
      </c>
      <c r="G12" s="24" t="s">
        <v>119</v>
      </c>
      <c r="H12" s="24" t="s">
        <v>120</v>
      </c>
      <c r="I12" s="24" t="s">
        <v>139</v>
      </c>
    </row>
    <row r="13" customFormat="false" ht="15" hidden="false" customHeight="true" outlineLevel="0" collapsed="false">
      <c r="B13" s="24" t="s">
        <v>140</v>
      </c>
      <c r="C13" s="24" t="s">
        <v>141</v>
      </c>
      <c r="D13" s="24" t="s">
        <v>117</v>
      </c>
      <c r="E13" s="24" t="s">
        <v>118</v>
      </c>
      <c r="F13" s="24" t="s">
        <v>118</v>
      </c>
      <c r="G13" s="24" t="s">
        <v>119</v>
      </c>
      <c r="H13" s="24" t="s">
        <v>120</v>
      </c>
      <c r="I13" s="24" t="s">
        <v>121</v>
      </c>
    </row>
    <row r="14" customFormat="false" ht="15" hidden="false" customHeight="true" outlineLevel="0" collapsed="false">
      <c r="B14" s="24"/>
      <c r="C14" s="24"/>
      <c r="D14" s="24"/>
      <c r="E14" s="24"/>
      <c r="F14" s="24"/>
      <c r="G14" s="24"/>
      <c r="H14" s="24"/>
      <c r="I14" s="24"/>
    </row>
    <row r="15" customFormat="false" ht="15" hidden="false" customHeight="true" outlineLevel="0" collapsed="false">
      <c r="B15" s="24"/>
      <c r="C15" s="24"/>
      <c r="D15" s="24"/>
      <c r="E15" s="24"/>
      <c r="F15" s="24"/>
      <c r="G15" s="24"/>
      <c r="H15" s="24"/>
      <c r="I15" s="24"/>
    </row>
    <row r="16" customFormat="false" ht="15" hidden="false" customHeight="true" outlineLevel="0" collapsed="false">
      <c r="B16" s="24"/>
      <c r="C16" s="24"/>
      <c r="D16" s="24"/>
      <c r="E16" s="24"/>
      <c r="F16" s="24"/>
      <c r="G16" s="24"/>
      <c r="H16" s="24"/>
      <c r="I16" s="24"/>
    </row>
    <row r="17" customFormat="false" ht="15" hidden="false" customHeight="true" outlineLevel="0" collapsed="false">
      <c r="B17" s="24"/>
      <c r="C17" s="24"/>
      <c r="D17" s="24"/>
      <c r="E17" s="24"/>
      <c r="F17" s="24"/>
      <c r="G17" s="24"/>
      <c r="H17" s="24"/>
      <c r="I17" s="24"/>
    </row>
    <row r="18" customFormat="false" ht="15" hidden="false" customHeight="true" outlineLevel="0" collapsed="false">
      <c r="B18" s="24"/>
      <c r="C18" s="24"/>
      <c r="D18" s="24"/>
      <c r="E18" s="24"/>
      <c r="F18" s="24"/>
      <c r="G18" s="24"/>
      <c r="H18" s="24"/>
      <c r="I18" s="24"/>
    </row>
    <row r="19" customFormat="false" ht="15" hidden="false" customHeight="true" outlineLevel="0" collapsed="false">
      <c r="B19" s="24"/>
      <c r="C19" s="24"/>
      <c r="D19" s="24"/>
      <c r="E19" s="24"/>
      <c r="F19" s="24"/>
      <c r="G19" s="24"/>
      <c r="H19" s="24"/>
      <c r="I19" s="24"/>
    </row>
    <row r="20" customFormat="false" ht="15" hidden="false" customHeight="true" outlineLevel="0" collapsed="false">
      <c r="B20" s="24"/>
      <c r="C20" s="24"/>
      <c r="D20" s="24"/>
      <c r="E20" s="24"/>
      <c r="F20" s="24"/>
      <c r="G20" s="24"/>
      <c r="H20" s="24"/>
      <c r="I20" s="24"/>
    </row>
    <row r="21" customFormat="false" ht="15" hidden="false" customHeight="true" outlineLevel="0" collapsed="false">
      <c r="B21" s="24"/>
      <c r="C21" s="24"/>
      <c r="D21" s="24"/>
      <c r="E21" s="24"/>
      <c r="F21" s="24"/>
      <c r="G21" s="24"/>
      <c r="H21" s="24"/>
      <c r="I21" s="24"/>
    </row>
    <row r="22" customFormat="false" ht="15" hidden="false" customHeight="true" outlineLevel="0" collapsed="false">
      <c r="B22" s="24"/>
      <c r="C22" s="24"/>
      <c r="D22" s="24"/>
      <c r="E22" s="24"/>
      <c r="F22" s="24"/>
      <c r="G22" s="24"/>
      <c r="H22" s="24"/>
      <c r="I22" s="24"/>
    </row>
    <row r="23" customFormat="false" ht="15" hidden="false" customHeight="true" outlineLevel="0" collapsed="false">
      <c r="B23" s="24"/>
      <c r="C23" s="24"/>
      <c r="D23" s="24"/>
      <c r="E23" s="24"/>
      <c r="F23" s="24"/>
      <c r="G23" s="24"/>
      <c r="H23" s="24"/>
      <c r="I23" s="24"/>
    </row>
    <row r="24" customFormat="false" ht="15" hidden="false" customHeight="true" outlineLevel="0" collapsed="false">
      <c r="B24" s="24"/>
      <c r="C24" s="24"/>
      <c r="D24" s="24"/>
      <c r="E24" s="24"/>
      <c r="F24" s="24"/>
      <c r="G24" s="24"/>
      <c r="H24" s="24"/>
      <c r="I24" s="24"/>
    </row>
    <row r="25" customFormat="false" ht="15" hidden="false" customHeight="true" outlineLevel="0" collapsed="false">
      <c r="B25" s="24"/>
      <c r="C25" s="24"/>
      <c r="D25" s="24"/>
      <c r="E25" s="24"/>
      <c r="F25" s="24"/>
      <c r="G25" s="24"/>
      <c r="H25" s="24"/>
      <c r="I25" s="24"/>
    </row>
    <row r="26" customFormat="false" ht="15" hidden="false" customHeight="true" outlineLevel="0" collapsed="false">
      <c r="B26" s="24"/>
      <c r="C26" s="24"/>
      <c r="D26" s="24"/>
      <c r="E26" s="24"/>
      <c r="F26" s="24"/>
      <c r="G26" s="24"/>
      <c r="H26" s="24"/>
      <c r="I26" s="24"/>
    </row>
    <row r="28" customFormat="false" ht="15" hidden="false" customHeight="true" outlineLevel="0" collapsed="false">
      <c r="B28" s="16" t="s">
        <v>117</v>
      </c>
      <c r="C28" s="16" t="n">
        <f aca="false">COUNTIF(D6:D26,"Compliant")</f>
        <v>5</v>
      </c>
    </row>
    <row r="29" customFormat="false" ht="15" hidden="false" customHeight="true" outlineLevel="0" collapsed="false">
      <c r="B29" s="16" t="s">
        <v>142</v>
      </c>
      <c r="C29" s="16" t="n">
        <f aca="false">COUNTA(B6:B26)</f>
        <v>8</v>
      </c>
    </row>
    <row r="30" customFormat="false" ht="15" hidden="false" customHeight="true" outlineLevel="0" collapsed="false">
      <c r="B30" s="16" t="s">
        <v>143</v>
      </c>
      <c r="C30" s="16" t="n">
        <f aca="false">COUNTIF(E6:E26,"Yes")</f>
        <v>8</v>
      </c>
    </row>
    <row r="31" customFormat="false" ht="15" hidden="false" customHeight="true" outlineLevel="0" collapsed="false">
      <c r="B31" s="16" t="s">
        <v>144</v>
      </c>
      <c r="C31" s="16" t="n">
        <f aca="false">COUNTIF(F6:F26,"Yes")</f>
        <v>6</v>
      </c>
    </row>
    <row r="32" customFormat="false" ht="15" hidden="false" customHeight="true" outlineLevel="0" collapsed="false">
      <c r="B32" s="16" t="s">
        <v>145</v>
      </c>
      <c r="C32" s="16" t="n">
        <f aca="false">COUNTIF(G6:G26,"Yes")</f>
        <v>2</v>
      </c>
    </row>
    <row r="33" customFormat="false" ht="15" hidden="false" customHeight="true" outlineLevel="0" collapsed="false">
      <c r="B33" s="16" t="s">
        <v>146</v>
      </c>
      <c r="C33" s="16" t="n">
        <f aca="false">COUNTIF(H6:H26,"Yes")</f>
        <v>1</v>
      </c>
    </row>
    <row r="35" customFormat="false" ht="14.25" hidden="false" customHeight="false" outlineLevel="0" collapsed="false">
      <c r="B35" s="19" t="s">
        <v>147</v>
      </c>
    </row>
  </sheetData>
  <mergeCells count="2">
    <mergeCell ref="A2:H2"/>
    <mergeCell ref="B3:I3"/>
  </mergeCells>
  <dataValidations count="2">
    <dataValidation allowBlank="true" errorStyle="stop" operator="between" showDropDown="false" showErrorMessage="true" showInputMessage="false" sqref="D6:D26" type="list">
      <formula1>"Compliant,Non-compliant,Under Review"</formula1>
      <formula2>0</formula2>
    </dataValidation>
    <dataValidation allowBlank="true" errorStyle="stop" operator="between" showDropDown="false" showErrorMessage="true" showInputMessage="false" sqref="E6:H26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&amp;CHritvi Narvekar | 24102C0073 | CMPN C (TE)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H33"/>
  <sheetViews>
    <sheetView showFormulas="false" showGridLines="false" showRowColHeaders="true" showZeros="true" rightToLeft="false" tabSelected="false" showOutlineSymbols="true" defaultGridColor="true" view="normal" topLeftCell="A1" colorId="64" zoomScale="25" zoomScaleNormal="25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40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30"/>
    <col collapsed="false" customWidth="true" hidden="false" outlineLevel="0" max="7" min="7" style="0" width="28"/>
    <col collapsed="false" customWidth="true" hidden="false" outlineLevel="0" max="8" min="8" style="0" width="22"/>
  </cols>
  <sheetData>
    <row r="2" customFormat="false" ht="25.5" hidden="false" customHeight="true" outlineLevel="0" collapsed="false">
      <c r="A2" s="1" t="s">
        <v>148</v>
      </c>
      <c r="B2" s="1"/>
      <c r="C2" s="1"/>
      <c r="D2" s="1"/>
      <c r="E2" s="1"/>
      <c r="F2" s="1"/>
      <c r="G2" s="1"/>
    </row>
    <row r="3" customFormat="false" ht="15" hidden="false" customHeight="true" outlineLevel="0" collapsed="false">
      <c r="B3" s="2" t="s">
        <v>149</v>
      </c>
      <c r="C3" s="2"/>
      <c r="D3" s="2"/>
      <c r="E3" s="2"/>
      <c r="F3" s="2"/>
      <c r="G3" s="2"/>
      <c r="H3" s="2"/>
    </row>
    <row r="5" customFormat="false" ht="31.5" hidden="false" customHeight="true" outlineLevel="0" collapsed="false">
      <c r="B5" s="7" t="s">
        <v>150</v>
      </c>
      <c r="C5" s="7" t="s">
        <v>53</v>
      </c>
      <c r="D5" s="7" t="s">
        <v>151</v>
      </c>
      <c r="E5" s="7" t="s">
        <v>152</v>
      </c>
      <c r="F5" s="7" t="s">
        <v>153</v>
      </c>
      <c r="G5" s="7" t="s">
        <v>154</v>
      </c>
      <c r="H5" s="7" t="s">
        <v>85</v>
      </c>
    </row>
    <row r="6" customFormat="false" ht="15" hidden="false" customHeight="true" outlineLevel="0" collapsed="false">
      <c r="B6" s="24" t="s">
        <v>155</v>
      </c>
      <c r="C6" s="24" t="s">
        <v>63</v>
      </c>
      <c r="D6" s="24" t="s">
        <v>156</v>
      </c>
      <c r="E6" s="28" t="n">
        <v>90</v>
      </c>
      <c r="F6" s="28" t="n">
        <v>38</v>
      </c>
      <c r="G6" s="24" t="s">
        <v>157</v>
      </c>
      <c r="H6" s="24" t="s">
        <v>158</v>
      </c>
    </row>
    <row r="7" customFormat="false" ht="15" hidden="false" customHeight="true" outlineLevel="0" collapsed="false">
      <c r="B7" s="24" t="s">
        <v>159</v>
      </c>
      <c r="C7" s="24" t="s">
        <v>64</v>
      </c>
      <c r="D7" s="24" t="s">
        <v>160</v>
      </c>
      <c r="E7" s="28" t="n">
        <v>45</v>
      </c>
      <c r="F7" s="28" t="n">
        <v>12</v>
      </c>
      <c r="G7" s="24" t="s">
        <v>161</v>
      </c>
      <c r="H7" s="24" t="s">
        <v>162</v>
      </c>
    </row>
    <row r="8" customFormat="false" ht="15" hidden="false" customHeight="true" outlineLevel="0" collapsed="false">
      <c r="B8" s="24" t="s">
        <v>163</v>
      </c>
      <c r="C8" s="24" t="s">
        <v>68</v>
      </c>
      <c r="D8" s="24" t="s">
        <v>160</v>
      </c>
      <c r="E8" s="28" t="n">
        <v>35</v>
      </c>
      <c r="F8" s="28" t="n">
        <v>8</v>
      </c>
      <c r="G8" s="24" t="s">
        <v>164</v>
      </c>
      <c r="H8" s="24" t="s">
        <v>162</v>
      </c>
    </row>
    <row r="9" customFormat="false" ht="15" hidden="false" customHeight="true" outlineLevel="0" collapsed="false">
      <c r="B9" s="24" t="s">
        <v>165</v>
      </c>
      <c r="C9" s="24" t="s">
        <v>67</v>
      </c>
      <c r="D9" s="24" t="s">
        <v>156</v>
      </c>
      <c r="E9" s="24" t="n">
        <v>30</v>
      </c>
      <c r="F9" s="24" t="n">
        <v>14</v>
      </c>
      <c r="G9" s="24" t="s">
        <v>166</v>
      </c>
      <c r="H9" s="24" t="s">
        <v>158</v>
      </c>
    </row>
    <row r="10" customFormat="false" ht="15" hidden="false" customHeight="true" outlineLevel="0" collapsed="false">
      <c r="B10" s="24" t="s">
        <v>167</v>
      </c>
      <c r="C10" s="24" t="s">
        <v>65</v>
      </c>
      <c r="D10" s="24" t="s">
        <v>160</v>
      </c>
      <c r="E10" s="24" t="n">
        <v>25</v>
      </c>
      <c r="F10" s="24" t="n">
        <v>5</v>
      </c>
      <c r="G10" s="24" t="s">
        <v>168</v>
      </c>
      <c r="H10" s="24" t="s">
        <v>169</v>
      </c>
    </row>
    <row r="11" customFormat="false" ht="15" hidden="false" customHeight="true" outlineLevel="0" collapsed="false">
      <c r="B11" s="24" t="s">
        <v>170</v>
      </c>
      <c r="C11" s="24" t="s">
        <v>69</v>
      </c>
      <c r="D11" s="24" t="s">
        <v>171</v>
      </c>
      <c r="E11" s="24" t="n">
        <v>18</v>
      </c>
      <c r="F11" s="24" t="n">
        <v>18</v>
      </c>
      <c r="G11" s="24" t="s">
        <v>172</v>
      </c>
      <c r="H11" s="24" t="s">
        <v>173</v>
      </c>
    </row>
    <row r="12" customFormat="false" ht="15" hidden="false" customHeight="true" outlineLevel="0" collapsed="false">
      <c r="B12" s="24"/>
      <c r="C12" s="24"/>
      <c r="D12" s="24"/>
      <c r="E12" s="24"/>
      <c r="F12" s="24"/>
      <c r="G12" s="24"/>
      <c r="H12" s="24"/>
    </row>
    <row r="13" customFormat="false" ht="15" hidden="false" customHeight="true" outlineLevel="0" collapsed="false">
      <c r="B13" s="24"/>
      <c r="C13" s="24"/>
      <c r="D13" s="24"/>
      <c r="E13" s="24"/>
      <c r="F13" s="24"/>
      <c r="G13" s="24"/>
      <c r="H13" s="24"/>
    </row>
    <row r="14" customFormat="false" ht="15" hidden="false" customHeight="true" outlineLevel="0" collapsed="false">
      <c r="B14" s="24"/>
      <c r="C14" s="24"/>
      <c r="D14" s="24"/>
      <c r="E14" s="24"/>
      <c r="F14" s="24"/>
      <c r="G14" s="24"/>
      <c r="H14" s="24"/>
    </row>
    <row r="15" customFormat="false" ht="15" hidden="false" customHeight="true" outlineLevel="0" collapsed="false">
      <c r="B15" s="24"/>
      <c r="C15" s="24"/>
      <c r="D15" s="24"/>
      <c r="E15" s="24"/>
      <c r="F15" s="24"/>
      <c r="G15" s="24"/>
      <c r="H15" s="24"/>
    </row>
    <row r="16" customFormat="false" ht="15" hidden="false" customHeight="true" outlineLevel="0" collapsed="false">
      <c r="B16" s="24"/>
      <c r="C16" s="24"/>
      <c r="D16" s="24"/>
      <c r="E16" s="24"/>
      <c r="F16" s="24"/>
      <c r="G16" s="24"/>
      <c r="H16" s="24"/>
    </row>
    <row r="17" customFormat="false" ht="15" hidden="false" customHeight="true" outlineLevel="0" collapsed="false">
      <c r="B17" s="24"/>
      <c r="C17" s="24"/>
      <c r="D17" s="24"/>
      <c r="E17" s="24"/>
      <c r="F17" s="24"/>
      <c r="G17" s="24"/>
      <c r="H17" s="24"/>
    </row>
    <row r="18" customFormat="false" ht="15" hidden="false" customHeight="true" outlineLevel="0" collapsed="false">
      <c r="B18" s="24"/>
      <c r="C18" s="24"/>
      <c r="D18" s="24"/>
      <c r="E18" s="24"/>
      <c r="F18" s="24"/>
      <c r="G18" s="24"/>
      <c r="H18" s="24"/>
    </row>
    <row r="19" customFormat="false" ht="15" hidden="false" customHeight="true" outlineLevel="0" collapsed="false">
      <c r="B19" s="24"/>
      <c r="C19" s="24"/>
      <c r="D19" s="24"/>
      <c r="E19" s="24"/>
      <c r="F19" s="24"/>
      <c r="G19" s="24"/>
      <c r="H19" s="24"/>
    </row>
    <row r="20" customFormat="false" ht="15" hidden="false" customHeight="true" outlineLevel="0" collapsed="false">
      <c r="B20" s="24"/>
      <c r="C20" s="24"/>
      <c r="D20" s="24"/>
      <c r="E20" s="24"/>
      <c r="F20" s="24"/>
      <c r="G20" s="24"/>
      <c r="H20" s="24"/>
    </row>
    <row r="21" customFormat="false" ht="15" hidden="false" customHeight="true" outlineLevel="0" collapsed="false">
      <c r="B21" s="24"/>
      <c r="C21" s="24"/>
      <c r="D21" s="24"/>
      <c r="E21" s="24"/>
      <c r="F21" s="24"/>
      <c r="G21" s="24"/>
      <c r="H21" s="24"/>
    </row>
    <row r="22" customFormat="false" ht="15" hidden="false" customHeight="true" outlineLevel="0" collapsed="false">
      <c r="B22" s="24"/>
      <c r="C22" s="24"/>
      <c r="D22" s="24"/>
      <c r="E22" s="24"/>
      <c r="F22" s="24"/>
      <c r="G22" s="24"/>
      <c r="H22" s="24"/>
    </row>
    <row r="23" customFormat="false" ht="15" hidden="false" customHeight="true" outlineLevel="0" collapsed="false">
      <c r="B23" s="24"/>
      <c r="C23" s="24"/>
      <c r="D23" s="24"/>
      <c r="E23" s="24"/>
      <c r="F23" s="24"/>
      <c r="G23" s="24"/>
      <c r="H23" s="24"/>
    </row>
    <row r="24" customFormat="false" ht="15" hidden="false" customHeight="true" outlineLevel="0" collapsed="false">
      <c r="B24" s="24"/>
      <c r="C24" s="24"/>
      <c r="D24" s="24"/>
      <c r="E24" s="24"/>
      <c r="F24" s="24"/>
      <c r="G24" s="24"/>
      <c r="H24" s="24"/>
    </row>
    <row r="25" customFormat="false" ht="15" hidden="false" customHeight="true" outlineLevel="0" collapsed="false">
      <c r="B25" s="24"/>
      <c r="C25" s="24"/>
      <c r="D25" s="24"/>
      <c r="E25" s="24"/>
      <c r="F25" s="24"/>
      <c r="G25" s="24"/>
      <c r="H25" s="24"/>
    </row>
    <row r="26" customFormat="false" ht="15" hidden="false" customHeight="true" outlineLevel="0" collapsed="false">
      <c r="B26" s="24"/>
      <c r="C26" s="24"/>
      <c r="D26" s="24"/>
      <c r="E26" s="24"/>
      <c r="F26" s="24"/>
      <c r="G26" s="24"/>
      <c r="H26" s="24"/>
    </row>
    <row r="28" customFormat="false" ht="15" hidden="false" customHeight="true" outlineLevel="0" collapsed="false">
      <c r="B28" s="16" t="s">
        <v>174</v>
      </c>
      <c r="C28" s="16" t="n">
        <f aca="false">COUNTA(B6:B26)</f>
        <v>6</v>
      </c>
    </row>
    <row r="29" customFormat="false" ht="15" hidden="false" customHeight="true" outlineLevel="0" collapsed="false">
      <c r="B29" s="16" t="s">
        <v>175</v>
      </c>
      <c r="C29" s="16" t="n">
        <f aca="false">COUNTIF(D6:D26,"Formalized")+COUNTIF(D6:D26,"Remediated")</f>
        <v>1</v>
      </c>
    </row>
    <row r="30" customFormat="false" ht="15" hidden="false" customHeight="true" outlineLevel="0" collapsed="false">
      <c r="B30" s="16" t="s">
        <v>176</v>
      </c>
      <c r="C30" s="16" t="n">
        <f aca="false">SUM(E6:E26)</f>
        <v>243</v>
      </c>
    </row>
    <row r="31" customFormat="false" ht="15" hidden="false" customHeight="true" outlineLevel="0" collapsed="false">
      <c r="B31" s="16" t="s">
        <v>177</v>
      </c>
      <c r="C31" s="16" t="n">
        <f aca="false">SUM(F6:F26)</f>
        <v>95</v>
      </c>
    </row>
    <row r="33" customFormat="false" ht="14.25" hidden="false" customHeight="false" outlineLevel="0" collapsed="false">
      <c r="B33" s="19" t="s">
        <v>178</v>
      </c>
    </row>
  </sheetData>
  <mergeCells count="2">
    <mergeCell ref="A2:G2"/>
    <mergeCell ref="B3:H3"/>
  </mergeCells>
  <dataValidations count="2">
    <dataValidation allowBlank="true" errorStyle="stop" operator="between" showDropDown="false" showErrorMessage="true" showInputMessage="false" sqref="D6:D26" type="list">
      <formula1>"Active (Not Formalized),Partially Formalized,Formalized,Remediated"</formula1>
      <formula2>0</formula2>
    </dataValidation>
    <dataValidation allowBlank="true" errorStyle="stop" operator="between" showDropDown="false" showErrorMessage="true" showInputMessage="false" sqref="C6:C26" type="list">
      <formula1>1_Generation_Inventory!$B$6:$B$25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&amp;CHritvi Narvekar | 24102C0073 | CMPN C (TE)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32"/>
  <sheetViews>
    <sheetView showFormulas="false" showGridLines="false" showRowColHeaders="true" showZeros="true" rightToLeft="false" tabSelected="false" showOutlineSymbols="true" defaultGridColor="true" view="normal" topLeftCell="A1" colorId="64" zoomScale="46" zoomScaleNormal="46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3"/>
    <col collapsed="false" customWidth="true" hidden="false" outlineLevel="0" max="3" min="2" style="0" width="40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29"/>
    <col collapsed="false" customWidth="true" hidden="false" outlineLevel="0" max="8" min="8" style="0" width="24"/>
    <col collapsed="false" customWidth="true" hidden="false" outlineLevel="0" max="9" min="9" style="0" width="26"/>
  </cols>
  <sheetData>
    <row r="2" customFormat="false" ht="25.5" hidden="false" customHeight="true" outlineLevel="0" collapsed="false">
      <c r="A2" s="1" t="s">
        <v>179</v>
      </c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B3" s="2" t="s">
        <v>180</v>
      </c>
      <c r="C3" s="2"/>
      <c r="D3" s="2"/>
      <c r="E3" s="2"/>
      <c r="F3" s="2"/>
      <c r="G3" s="2"/>
      <c r="H3" s="2"/>
      <c r="I3" s="2"/>
    </row>
    <row r="5" customFormat="false" ht="31.5" hidden="false" customHeight="true" outlineLevel="0" collapsed="false">
      <c r="B5" s="7" t="s">
        <v>181</v>
      </c>
      <c r="C5" s="7" t="s">
        <v>53</v>
      </c>
      <c r="D5" s="7" t="s">
        <v>182</v>
      </c>
      <c r="E5" s="7" t="s">
        <v>183</v>
      </c>
      <c r="F5" s="7" t="s">
        <v>184</v>
      </c>
      <c r="G5" s="7" t="s">
        <v>185</v>
      </c>
      <c r="H5" s="7" t="s">
        <v>186</v>
      </c>
      <c r="I5" s="7" t="s">
        <v>85</v>
      </c>
    </row>
    <row r="6" customFormat="false" ht="15" hidden="false" customHeight="true" outlineLevel="0" collapsed="false">
      <c r="B6" s="24" t="s">
        <v>155</v>
      </c>
      <c r="C6" s="24" t="s">
        <v>63</v>
      </c>
      <c r="D6" s="24" t="s">
        <v>187</v>
      </c>
      <c r="E6" s="27" t="n">
        <v>46156</v>
      </c>
      <c r="F6" s="24" t="s">
        <v>188</v>
      </c>
      <c r="G6" s="24" t="s">
        <v>118</v>
      </c>
      <c r="H6" s="28" t="n">
        <v>120</v>
      </c>
      <c r="I6" s="24" t="s">
        <v>189</v>
      </c>
    </row>
    <row r="7" customFormat="false" ht="15" hidden="false" customHeight="true" outlineLevel="0" collapsed="false">
      <c r="B7" s="24" t="s">
        <v>159</v>
      </c>
      <c r="C7" s="24" t="s">
        <v>64</v>
      </c>
      <c r="D7" s="24" t="s">
        <v>190</v>
      </c>
      <c r="E7" s="27" t="n">
        <v>46134</v>
      </c>
      <c r="F7" s="24" t="s">
        <v>191</v>
      </c>
      <c r="G7" s="24" t="s">
        <v>119</v>
      </c>
      <c r="H7" s="28" t="n">
        <v>0</v>
      </c>
      <c r="I7" s="24" t="s">
        <v>192</v>
      </c>
    </row>
    <row r="8" customFormat="false" ht="15" hidden="false" customHeight="true" outlineLevel="0" collapsed="false">
      <c r="B8" s="24" t="s">
        <v>165</v>
      </c>
      <c r="C8" s="24" t="s">
        <v>67</v>
      </c>
      <c r="D8" s="24" t="s">
        <v>193</v>
      </c>
      <c r="E8" s="27" t="n">
        <v>46182</v>
      </c>
      <c r="F8" s="24" t="s">
        <v>194</v>
      </c>
      <c r="G8" s="24" t="s">
        <v>118</v>
      </c>
      <c r="H8" s="24" t="n">
        <v>65</v>
      </c>
      <c r="I8" s="24" t="s">
        <v>195</v>
      </c>
    </row>
    <row r="9" customFormat="false" ht="15" hidden="false" customHeight="true" outlineLevel="0" collapsed="false">
      <c r="B9" s="24" t="s">
        <v>163</v>
      </c>
      <c r="C9" s="24" t="s">
        <v>68</v>
      </c>
      <c r="D9" s="24" t="s">
        <v>196</v>
      </c>
      <c r="E9" s="27" t="n">
        <v>46221</v>
      </c>
      <c r="F9" s="24" t="s">
        <v>191</v>
      </c>
      <c r="G9" s="24" t="s">
        <v>119</v>
      </c>
      <c r="H9" s="24" t="n">
        <v>0</v>
      </c>
      <c r="I9" s="24"/>
    </row>
    <row r="10" customFormat="false" ht="15" hidden="false" customHeight="true" outlineLevel="0" collapsed="false">
      <c r="B10" s="24" t="s">
        <v>155</v>
      </c>
      <c r="C10" s="24" t="s">
        <v>63</v>
      </c>
      <c r="D10" s="24" t="s">
        <v>190</v>
      </c>
      <c r="E10" s="27" t="n">
        <v>46259</v>
      </c>
      <c r="F10" s="24" t="s">
        <v>191</v>
      </c>
      <c r="G10" s="24" t="s">
        <v>119</v>
      </c>
      <c r="H10" s="24" t="n">
        <v>0</v>
      </c>
      <c r="I10" s="24" t="s">
        <v>197</v>
      </c>
    </row>
    <row r="11" customFormat="false" ht="15" hidden="false" customHeight="true" outlineLevel="0" collapsed="false">
      <c r="B11" s="24"/>
      <c r="C11" s="24"/>
      <c r="D11" s="24"/>
      <c r="E11" s="24"/>
      <c r="F11" s="24"/>
      <c r="G11" s="24"/>
      <c r="H11" s="24"/>
      <c r="I11" s="24"/>
    </row>
    <row r="12" customFormat="false" ht="15" hidden="false" customHeight="true" outlineLevel="0" collapsed="false">
      <c r="B12" s="24"/>
      <c r="C12" s="24"/>
      <c r="D12" s="24"/>
      <c r="E12" s="24"/>
      <c r="F12" s="24"/>
      <c r="G12" s="24"/>
      <c r="H12" s="24"/>
      <c r="I12" s="24"/>
    </row>
    <row r="13" customFormat="false" ht="15" hidden="false" customHeight="true" outlineLevel="0" collapsed="false">
      <c r="B13" s="24"/>
      <c r="C13" s="24"/>
      <c r="D13" s="24"/>
      <c r="E13" s="24"/>
      <c r="F13" s="24"/>
      <c r="G13" s="24"/>
      <c r="H13" s="24"/>
      <c r="I13" s="24"/>
    </row>
    <row r="14" customFormat="false" ht="15" hidden="false" customHeight="true" outlineLevel="0" collapsed="false">
      <c r="B14" s="24"/>
      <c r="C14" s="24"/>
      <c r="D14" s="24"/>
      <c r="E14" s="24"/>
      <c r="F14" s="24"/>
      <c r="G14" s="24"/>
      <c r="H14" s="24"/>
      <c r="I14" s="24"/>
    </row>
    <row r="15" customFormat="false" ht="15" hidden="false" customHeight="true" outlineLevel="0" collapsed="false">
      <c r="B15" s="24"/>
      <c r="C15" s="24"/>
      <c r="D15" s="24"/>
      <c r="E15" s="24"/>
      <c r="F15" s="24"/>
      <c r="G15" s="24"/>
      <c r="H15" s="24"/>
      <c r="I15" s="24"/>
    </row>
    <row r="16" customFormat="false" ht="15" hidden="false" customHeight="true" outlineLevel="0" collapsed="false">
      <c r="B16" s="24"/>
      <c r="C16" s="24"/>
      <c r="D16" s="24"/>
      <c r="E16" s="24"/>
      <c r="F16" s="24"/>
      <c r="G16" s="24"/>
      <c r="H16" s="24"/>
      <c r="I16" s="24"/>
    </row>
    <row r="17" customFormat="false" ht="15" hidden="false" customHeight="true" outlineLevel="0" collapsed="false">
      <c r="B17" s="24"/>
      <c r="C17" s="24"/>
      <c r="D17" s="24"/>
      <c r="E17" s="24"/>
      <c r="F17" s="24"/>
      <c r="G17" s="24"/>
      <c r="H17" s="24"/>
      <c r="I17" s="24"/>
    </row>
    <row r="18" customFormat="false" ht="15" hidden="false" customHeight="true" outlineLevel="0" collapsed="false">
      <c r="B18" s="24"/>
      <c r="C18" s="24"/>
      <c r="D18" s="24"/>
      <c r="E18" s="24"/>
      <c r="F18" s="24"/>
      <c r="G18" s="24"/>
      <c r="H18" s="24"/>
      <c r="I18" s="24"/>
    </row>
    <row r="19" customFormat="false" ht="15" hidden="false" customHeight="true" outlineLevel="0" collapsed="false">
      <c r="B19" s="24"/>
      <c r="C19" s="24"/>
      <c r="D19" s="24"/>
      <c r="E19" s="24"/>
      <c r="F19" s="24"/>
      <c r="G19" s="24"/>
      <c r="H19" s="24"/>
      <c r="I19" s="24"/>
    </row>
    <row r="20" customFormat="false" ht="15" hidden="false" customHeight="true" outlineLevel="0" collapsed="false">
      <c r="B20" s="24"/>
      <c r="C20" s="24"/>
      <c r="D20" s="24"/>
      <c r="E20" s="24"/>
      <c r="F20" s="24"/>
      <c r="G20" s="24"/>
      <c r="H20" s="24"/>
      <c r="I20" s="24"/>
    </row>
    <row r="21" customFormat="false" ht="15" hidden="false" customHeight="true" outlineLevel="0" collapsed="false">
      <c r="B21" s="24"/>
      <c r="C21" s="24"/>
      <c r="D21" s="24"/>
      <c r="E21" s="24"/>
      <c r="F21" s="24"/>
      <c r="G21" s="24"/>
      <c r="H21" s="24"/>
      <c r="I21" s="24"/>
    </row>
    <row r="22" customFormat="false" ht="15" hidden="false" customHeight="true" outlineLevel="0" collapsed="false">
      <c r="B22" s="24"/>
      <c r="C22" s="24"/>
      <c r="D22" s="24"/>
      <c r="E22" s="24"/>
      <c r="F22" s="24"/>
      <c r="G22" s="24"/>
      <c r="H22" s="24"/>
      <c r="I22" s="24"/>
    </row>
    <row r="23" customFormat="false" ht="15" hidden="false" customHeight="true" outlineLevel="0" collapsed="false">
      <c r="B23" s="24"/>
      <c r="C23" s="24"/>
      <c r="D23" s="24"/>
      <c r="E23" s="24"/>
      <c r="F23" s="24"/>
      <c r="G23" s="24"/>
      <c r="H23" s="24"/>
      <c r="I23" s="24"/>
    </row>
    <row r="24" customFormat="false" ht="15" hidden="false" customHeight="true" outlineLevel="0" collapsed="false">
      <c r="B24" s="24"/>
      <c r="C24" s="24"/>
      <c r="D24" s="24"/>
      <c r="E24" s="24"/>
      <c r="F24" s="24"/>
      <c r="G24" s="24"/>
      <c r="H24" s="24"/>
      <c r="I24" s="24"/>
    </row>
    <row r="25" customFormat="false" ht="15" hidden="false" customHeight="true" outlineLevel="0" collapsed="false">
      <c r="B25" s="24"/>
      <c r="C25" s="24"/>
      <c r="D25" s="24"/>
      <c r="E25" s="24"/>
      <c r="F25" s="24"/>
      <c r="G25" s="24"/>
      <c r="H25" s="24"/>
      <c r="I25" s="24"/>
    </row>
    <row r="26" customFormat="false" ht="15" hidden="false" customHeight="true" outlineLevel="0" collapsed="false">
      <c r="B26" s="24"/>
      <c r="C26" s="24"/>
      <c r="D26" s="24"/>
      <c r="E26" s="24"/>
      <c r="F26" s="24"/>
      <c r="G26" s="24"/>
      <c r="H26" s="24"/>
      <c r="I26" s="24"/>
    </row>
    <row r="28" customFormat="false" ht="15" hidden="false" customHeight="true" outlineLevel="0" collapsed="false">
      <c r="B28" s="16" t="s">
        <v>198</v>
      </c>
      <c r="C28" s="16" t="n">
        <f aca="false">SUMPRODUCT((B6:B26&lt;&gt;"")/COUNTIF(B6:B26,B6:B26&amp;""))</f>
        <v>4</v>
      </c>
    </row>
    <row r="29" customFormat="false" ht="15" hidden="false" customHeight="true" outlineLevel="0" collapsed="false">
      <c r="B29" s="16" t="s">
        <v>199</v>
      </c>
      <c r="C29" s="16" t="n">
        <f aca="false">COUNTIF(G6:G26,"Yes")</f>
        <v>2</v>
      </c>
    </row>
    <row r="30" customFormat="false" ht="15" hidden="false" customHeight="true" outlineLevel="0" collapsed="false">
      <c r="B30" s="16" t="s">
        <v>200</v>
      </c>
      <c r="C30" s="16" t="n">
        <f aca="false">SUM(H6:H26)</f>
        <v>185</v>
      </c>
    </row>
    <row r="32" customFormat="false" ht="14.25" hidden="false" customHeight="false" outlineLevel="0" collapsed="false">
      <c r="B32" s="19" t="s">
        <v>201</v>
      </c>
    </row>
  </sheetData>
  <mergeCells count="2">
    <mergeCell ref="A2:H2"/>
    <mergeCell ref="B3:I3"/>
  </mergeCells>
  <dataValidations count="4">
    <dataValidation allowBlank="true" errorStyle="stop" operator="between" showDropDown="false" showErrorMessage="true" showInputMessage="false" sqref="D6:D26" type="list">
      <formula1>"Soil,Water,Air,Soil + Water,Soil + Water + Air"</formula1>
      <formula2>0</formula2>
    </dataValidation>
    <dataValidation allowBlank="true" errorStyle="stop" operator="between" showDropDown="false" showErrorMessage="true" showInputMessage="false" sqref="F6:F26" type="list">
      <formula1>"Within Limit,Exceeds Limit,Pending Analysis"</formula1>
      <formula2>0</formula2>
    </dataValidation>
    <dataValidation allowBlank="true" errorStyle="stop" operator="between" showDropDown="false" showErrorMessage="true" showInputMessage="false" sqref="G6:G26" type="list">
      <formula1>"Yes,No"</formula1>
      <formula2>0</formula2>
    </dataValidation>
    <dataValidation allowBlank="true" errorStyle="stop" operator="between" showDropDown="false" showErrorMessage="true" showInputMessage="false" sqref="C6:C26" type="list">
      <formula1>1_Generation_Inventory!$B$6:$B$25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&amp;CHritvi Narvekar | 24102C0073 | CMPN C (TE)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G32"/>
  <sheetViews>
    <sheetView showFormulas="false" showGridLines="false" showRowColHeaders="true" showZeros="true" rightToLeft="false" tabSelected="false" showOutlineSymbols="true" defaultGridColor="true" view="normal" topLeftCell="A1" colorId="64" zoomScale="88" zoomScaleNormal="88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F40" activeCellId="0" sqref="F40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4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22"/>
  </cols>
  <sheetData>
    <row r="2" customFormat="false" ht="25.5" hidden="false" customHeight="true" outlineLevel="0" collapsed="false">
      <c r="A2" s="1" t="s">
        <v>202</v>
      </c>
      <c r="B2" s="1"/>
      <c r="C2" s="1"/>
      <c r="D2" s="1"/>
      <c r="E2" s="1"/>
      <c r="F2" s="1"/>
    </row>
    <row r="3" customFormat="false" ht="15" hidden="false" customHeight="true" outlineLevel="0" collapsed="false">
      <c r="B3" s="2" t="s">
        <v>203</v>
      </c>
      <c r="C3" s="2"/>
      <c r="D3" s="2"/>
      <c r="E3" s="2"/>
      <c r="F3" s="2"/>
      <c r="G3" s="2"/>
    </row>
    <row r="5" customFormat="false" ht="31.5" hidden="false" customHeight="true" outlineLevel="0" collapsed="false">
      <c r="B5" s="7" t="s">
        <v>204</v>
      </c>
      <c r="C5" s="7" t="s">
        <v>53</v>
      </c>
      <c r="D5" s="7" t="s">
        <v>183</v>
      </c>
      <c r="E5" s="7" t="s">
        <v>205</v>
      </c>
      <c r="F5" s="7" t="s">
        <v>206</v>
      </c>
      <c r="G5" s="7" t="s">
        <v>207</v>
      </c>
    </row>
    <row r="6" customFormat="false" ht="15" hidden="false" customHeight="true" outlineLevel="0" collapsed="false">
      <c r="B6" s="24" t="s">
        <v>208</v>
      </c>
      <c r="C6" s="24" t="s">
        <v>63</v>
      </c>
      <c r="D6" s="27" t="n">
        <v>46178</v>
      </c>
      <c r="E6" s="24" t="s">
        <v>209</v>
      </c>
      <c r="F6" s="24" t="s">
        <v>210</v>
      </c>
      <c r="G6" s="25" t="n">
        <v>600</v>
      </c>
    </row>
    <row r="7" customFormat="false" ht="15" hidden="false" customHeight="true" outlineLevel="0" collapsed="false">
      <c r="B7" s="24" t="s">
        <v>211</v>
      </c>
      <c r="C7" s="24" t="s">
        <v>64</v>
      </c>
      <c r="D7" s="27" t="n">
        <v>46215</v>
      </c>
      <c r="E7" s="24" t="s">
        <v>212</v>
      </c>
      <c r="F7" s="24" t="s">
        <v>213</v>
      </c>
      <c r="G7" s="25" t="n">
        <v>420</v>
      </c>
    </row>
    <row r="8" customFormat="false" ht="15" hidden="false" customHeight="true" outlineLevel="0" collapsed="false">
      <c r="B8" s="24" t="s">
        <v>214</v>
      </c>
      <c r="C8" s="24" t="s">
        <v>63</v>
      </c>
      <c r="D8" s="27" t="n">
        <v>46191</v>
      </c>
      <c r="E8" s="24" t="s">
        <v>215</v>
      </c>
      <c r="F8" s="24" t="s">
        <v>216</v>
      </c>
      <c r="G8" s="25" t="n">
        <v>250</v>
      </c>
    </row>
    <row r="9" customFormat="false" ht="15" hidden="false" customHeight="true" outlineLevel="0" collapsed="false">
      <c r="B9" s="24" t="s">
        <v>217</v>
      </c>
      <c r="C9" s="24" t="s">
        <v>63</v>
      </c>
      <c r="D9" s="27" t="n">
        <v>46236</v>
      </c>
      <c r="E9" s="24" t="s">
        <v>218</v>
      </c>
      <c r="F9" s="24" t="s">
        <v>219</v>
      </c>
      <c r="G9" s="30" t="n">
        <v>60</v>
      </c>
    </row>
    <row r="10" customFormat="false" ht="15" hidden="false" customHeight="true" outlineLevel="0" collapsed="false">
      <c r="B10" s="24" t="s">
        <v>220</v>
      </c>
      <c r="C10" s="24" t="s">
        <v>63</v>
      </c>
      <c r="D10" s="27" t="n">
        <v>46223</v>
      </c>
      <c r="E10" s="24" t="s">
        <v>221</v>
      </c>
      <c r="F10" s="24" t="s">
        <v>210</v>
      </c>
      <c r="G10" s="30" t="n">
        <v>3500</v>
      </c>
    </row>
    <row r="11" customFormat="false" ht="15" hidden="false" customHeight="true" outlineLevel="0" collapsed="false">
      <c r="B11" s="24" t="s">
        <v>222</v>
      </c>
      <c r="C11" s="24" t="s">
        <v>68</v>
      </c>
      <c r="D11" s="27" t="n">
        <v>46274</v>
      </c>
      <c r="E11" s="24" t="s">
        <v>209</v>
      </c>
      <c r="F11" s="24" t="s">
        <v>223</v>
      </c>
      <c r="G11" s="30" t="n">
        <v>150</v>
      </c>
    </row>
    <row r="12" customFormat="false" ht="15" hidden="false" customHeight="true" outlineLevel="0" collapsed="false">
      <c r="B12" s="24" t="s">
        <v>224</v>
      </c>
      <c r="C12" s="24" t="s">
        <v>67</v>
      </c>
      <c r="D12" s="27" t="n">
        <v>46280</v>
      </c>
      <c r="E12" s="24" t="s">
        <v>212</v>
      </c>
      <c r="F12" s="24" t="s">
        <v>213</v>
      </c>
      <c r="G12" s="30" t="n">
        <v>300</v>
      </c>
    </row>
    <row r="13" customFormat="false" ht="15" hidden="false" customHeight="true" outlineLevel="0" collapsed="false">
      <c r="B13" s="24"/>
      <c r="C13" s="24"/>
      <c r="D13" s="24"/>
      <c r="E13" s="24"/>
      <c r="F13" s="24"/>
      <c r="G13" s="24"/>
    </row>
    <row r="14" customFormat="false" ht="15" hidden="false" customHeight="true" outlineLevel="0" collapsed="false">
      <c r="B14" s="24"/>
      <c r="C14" s="24"/>
      <c r="D14" s="24"/>
      <c r="E14" s="24"/>
      <c r="F14" s="24"/>
      <c r="G14" s="24"/>
    </row>
    <row r="15" customFormat="false" ht="15" hidden="false" customHeight="true" outlineLevel="0" collapsed="false">
      <c r="B15" s="24"/>
      <c r="C15" s="24"/>
      <c r="D15" s="24"/>
      <c r="E15" s="24"/>
      <c r="F15" s="24"/>
      <c r="G15" s="24"/>
    </row>
    <row r="16" customFormat="false" ht="15" hidden="false" customHeight="true" outlineLevel="0" collapsed="false">
      <c r="B16" s="24"/>
      <c r="C16" s="24"/>
      <c r="D16" s="24"/>
      <c r="E16" s="24"/>
      <c r="F16" s="24"/>
      <c r="G16" s="24"/>
    </row>
    <row r="17" customFormat="false" ht="15" hidden="false" customHeight="true" outlineLevel="0" collapsed="false">
      <c r="B17" s="24"/>
      <c r="C17" s="24"/>
      <c r="D17" s="24"/>
      <c r="E17" s="24"/>
      <c r="F17" s="24"/>
      <c r="G17" s="24"/>
    </row>
    <row r="18" customFormat="false" ht="15" hidden="false" customHeight="true" outlineLevel="0" collapsed="false">
      <c r="B18" s="24"/>
      <c r="C18" s="24"/>
      <c r="D18" s="24"/>
      <c r="E18" s="24"/>
      <c r="F18" s="24"/>
      <c r="G18" s="24"/>
    </row>
    <row r="19" customFormat="false" ht="15" hidden="false" customHeight="true" outlineLevel="0" collapsed="false">
      <c r="B19" s="24"/>
      <c r="C19" s="24"/>
      <c r="D19" s="24"/>
      <c r="E19" s="24"/>
      <c r="F19" s="24"/>
      <c r="G19" s="24"/>
    </row>
    <row r="20" customFormat="false" ht="15" hidden="false" customHeight="true" outlineLevel="0" collapsed="false">
      <c r="B20" s="24"/>
      <c r="C20" s="24"/>
      <c r="D20" s="24"/>
      <c r="E20" s="24"/>
      <c r="F20" s="24"/>
      <c r="G20" s="24"/>
    </row>
    <row r="21" customFormat="false" ht="15" hidden="false" customHeight="true" outlineLevel="0" collapsed="false">
      <c r="B21" s="24"/>
      <c r="C21" s="24"/>
      <c r="D21" s="24"/>
      <c r="E21" s="24"/>
      <c r="F21" s="24"/>
      <c r="G21" s="24"/>
    </row>
    <row r="22" customFormat="false" ht="15" hidden="false" customHeight="true" outlineLevel="0" collapsed="false">
      <c r="B22" s="24"/>
      <c r="C22" s="24"/>
      <c r="D22" s="24"/>
      <c r="E22" s="24"/>
      <c r="F22" s="24"/>
      <c r="G22" s="24"/>
    </row>
    <row r="23" customFormat="false" ht="15" hidden="false" customHeight="true" outlineLevel="0" collapsed="false">
      <c r="B23" s="24"/>
      <c r="C23" s="24"/>
      <c r="D23" s="24"/>
      <c r="E23" s="24"/>
      <c r="F23" s="24"/>
      <c r="G23" s="24"/>
    </row>
    <row r="24" customFormat="false" ht="15" hidden="false" customHeight="true" outlineLevel="0" collapsed="false">
      <c r="B24" s="24"/>
      <c r="C24" s="24"/>
      <c r="D24" s="24"/>
      <c r="E24" s="24"/>
      <c r="F24" s="24"/>
      <c r="G24" s="24"/>
    </row>
    <row r="25" customFormat="false" ht="15" hidden="false" customHeight="true" outlineLevel="0" collapsed="false">
      <c r="B25" s="24"/>
      <c r="C25" s="24"/>
      <c r="D25" s="24"/>
      <c r="E25" s="24"/>
      <c r="F25" s="24"/>
      <c r="G25" s="24"/>
    </row>
    <row r="26" customFormat="false" ht="15" hidden="false" customHeight="true" outlineLevel="0" collapsed="false">
      <c r="B26" s="24"/>
      <c r="C26" s="24"/>
      <c r="D26" s="24"/>
      <c r="E26" s="24"/>
      <c r="F26" s="24"/>
      <c r="G26" s="24"/>
    </row>
    <row r="28" customFormat="false" ht="15" hidden="false" customHeight="true" outlineLevel="0" collapsed="false">
      <c r="B28" s="16" t="s">
        <v>225</v>
      </c>
      <c r="C28" s="16" t="n">
        <f aca="false">COUNTA(B6:B26)</f>
        <v>7</v>
      </c>
    </row>
    <row r="29" customFormat="false" ht="15" hidden="false" customHeight="true" outlineLevel="0" collapsed="false">
      <c r="B29" s="16" t="s">
        <v>226</v>
      </c>
      <c r="C29" s="16" t="n">
        <f aca="false">COUNTIF(E6:E26,"School Collection Drive")+COUNTIF(E6:E26,"RWA/Community Drive")</f>
        <v>3</v>
      </c>
    </row>
    <row r="30" customFormat="false" ht="15" hidden="false" customHeight="true" outlineLevel="0" collapsed="false">
      <c r="B30" s="16" t="s">
        <v>227</v>
      </c>
      <c r="C30" s="16" t="n">
        <f aca="false">SUM(G6:G26)</f>
        <v>5280</v>
      </c>
    </row>
    <row r="32" customFormat="false" ht="14.25" hidden="false" customHeight="false" outlineLevel="0" collapsed="false">
      <c r="B32" s="19" t="s">
        <v>228</v>
      </c>
    </row>
  </sheetData>
  <mergeCells count="2">
    <mergeCell ref="A2:F2"/>
    <mergeCell ref="B3:G3"/>
  </mergeCells>
  <dataValidations count="2">
    <dataValidation allowBlank="true" errorStyle="stop" operator="between" showDropDown="false" showErrorMessage="true" showInputMessage="false" sqref="E6:E26" type="list">
      <formula1>"Awareness Campaign,School Collection Drive,RWA/Community Drive,Industry Outreach,Media Campaign"</formula1>
      <formula2>0</formula2>
    </dataValidation>
    <dataValidation allowBlank="true" errorStyle="stop" operator="between" showDropDown="false" showErrorMessage="true" showInputMessage="false" sqref="C6:C26" type="list">
      <formula1>1_Generation_Inventory!$B$6:$B$25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05555555556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&amp;CHritvi Narvekar | 24102C0073 | CMPN C (TE)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2026-07-16T04:20:02Z</dcterms:created>
  <dc:creator>openpyxl</dc:creator>
  <dc:description/>
  <dc:language>en-US</dc:language>
  <cp:lastModifiedBy>Ishika Bhute</cp:lastModifiedBy>
  <dcterms:modified xsi:type="dcterms:W3CDTF">2026-10-16T11:20:22Z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